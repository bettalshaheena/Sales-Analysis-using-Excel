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Product Analysis" sheetId="6" state="visible" r:id="rId6"/>
    <sheet xmlns:r="http://schemas.openxmlformats.org/officeDocument/2006/relationships" name="Top 5 Products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20"/>
    </font>
    <font>
      <i val="1"/>
      <color rgb="00666666"/>
    </font>
    <font>
      <b val="1"/>
      <sz val="15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4" fontId="5" fillId="3" borderId="0" applyAlignment="1" pivotButton="0" quotePrefix="0" xfId="0">
      <alignment horizontal="center"/>
    </xf>
    <xf numFmtId="49" fontId="5" fillId="3" borderId="0" applyAlignment="1" pivotButton="0" quotePrefix="0" xfId="0">
      <alignment horizontal="center"/>
    </xf>
    <xf numFmtId="0" fontId="6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Analysis'!$C$2:$C$6</f>
            </numRef>
          </cat>
          <val>
            <numRef>
              <f>'Region Analysis'!$B$2:$B$6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Analysis'!$C$2:$C$6</f>
            </numRef>
          </cat>
          <val>
            <numRef>
              <f>'Category Analysis'!$B$2:$B$6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Analysis'!$C$2:$C$6</f>
            </numRef>
          </cat>
          <val>
            <numRef>
              <f>'Region Analysis'!$C$2:$C$6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5 Products'!B1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5 Products'!$C$2:$C$6</f>
            </numRef>
          </cat>
          <val>
            <numRef>
              <f>'Top 5 Products'!$B$2:$B$6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27</col>
      <colOff>0</colOff>
      <row>0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7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27</col>
      <colOff>0</colOff>
      <row>7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aw_Data" displayName="T_Raw_Data" ref="A1:I101" headerRowCount="1">
  <autoFilter ref="A1:I101"/>
  <tableColumns count="9">
    <tableColumn id="1" name="Order_ID"/>
    <tableColumn id="2" name="Date"/>
    <tableColumn id="3" name="Product"/>
    <tableColumn id="4" name="Category"/>
    <tableColumn id="5" name="Region"/>
    <tableColumn id="6" name="Quantity"/>
    <tableColumn id="7" name="Unit_Price"/>
    <tableColumn id="8" name="Sales"/>
    <tableColumn id="9" name="Profit"/>
  </tableColumns>
  <tableStyleInfo name="TableStyleMedium2" showRowStripes="1"/>
</table>
</file>

<file path=xl/tables/table2.xml><?xml version="1.0" encoding="utf-8"?>
<table xmlns="http://schemas.openxmlformats.org/spreadsheetml/2006/main" id="2" name="T_Monthly_Analysis" displayName="T_Monthly_Analysis" ref="A1:D7" headerRowCount="1">
  <autoFilter ref="A1:D7"/>
  <tableColumns count="4">
    <tableColumn id="1" name="Month"/>
    <tableColumn id="2" name="Sales"/>
    <tableColumn id="3" name="Profit"/>
    <tableColumn id="4" name="Orders"/>
  </tableColumns>
  <tableStyleInfo name="TableStyleMedium2" showRowStripes="1"/>
</table>
</file>

<file path=xl/tables/table3.xml><?xml version="1.0" encoding="utf-8"?>
<table xmlns="http://schemas.openxmlformats.org/spreadsheetml/2006/main" id="3" name="T_Region_Analysis" displayName="T_Region_Analysis" ref="A1:E5" headerRowCount="1">
  <autoFilter ref="A1:E5"/>
  <tableColumns count="5">
    <tableColumn id="1" name="Region"/>
    <tableColumn id="2" name="Sales"/>
    <tableColumn id="3" name="Profit"/>
    <tableColumn id="4" name="Orders"/>
    <tableColumn id="5" name="Quantity"/>
  </tableColumns>
  <tableStyleInfo name="TableStyleMedium2" showRowStripes="1"/>
</table>
</file>

<file path=xl/tables/table4.xml><?xml version="1.0" encoding="utf-8"?>
<table xmlns="http://schemas.openxmlformats.org/spreadsheetml/2006/main" id="4" name="T_Category_Analysis" displayName="T_Category_Analysis" ref="A1:E5" headerRowCount="1">
  <autoFilter ref="A1:E5"/>
  <tableColumns count="5">
    <tableColumn id="1" name="Category"/>
    <tableColumn id="2" name="Sales"/>
    <tableColumn id="3" name="Profit"/>
    <tableColumn id="4" name="Orders"/>
    <tableColumn id="5" name="Quantity"/>
  </tableColumns>
  <tableStyleInfo name="TableStyleMedium2" showRowStripes="1"/>
</table>
</file>

<file path=xl/tables/table5.xml><?xml version="1.0" encoding="utf-8"?>
<table xmlns="http://schemas.openxmlformats.org/spreadsheetml/2006/main" id="5" name="T_Product_Analysis" displayName="T_Product_Analysis" ref="A1:E16" headerRowCount="1">
  <autoFilter ref="A1:E16"/>
  <tableColumns count="5">
    <tableColumn id="1" name="Product"/>
    <tableColumn id="2" name="Sales"/>
    <tableColumn id="3" name="Profit"/>
    <tableColumn id="4" name="Quantity"/>
    <tableColumn id="5" name="Orders"/>
  </tableColumns>
  <tableStyleInfo name="TableStyleMedium2" showRowStripes="1"/>
</table>
</file>

<file path=xl/tables/table6.xml><?xml version="1.0" encoding="utf-8"?>
<table xmlns="http://schemas.openxmlformats.org/spreadsheetml/2006/main" id="6" name="T_Top_5_Products" displayName="T_Top_5_Products" ref="A1:E6" headerRowCount="1">
  <autoFilter ref="A1:E6"/>
  <tableColumns count="5">
    <tableColumn id="1" name="Product"/>
    <tableColumn id="2" name="Sales"/>
    <tableColumn id="3" name="Profit"/>
    <tableColumn id="4" name="Quantity"/>
    <tableColumn id="5" name="Orders"/>
  </tableColumns>
  <tableStyleInfo name="TableStyleMedium2" showRowStripes="1"/>
</table>
</file>

<file path=xl/tables/table7.xml><?xml version="1.0" encoding="utf-8"?>
<table xmlns="http://schemas.openxmlformats.org/spreadsheetml/2006/main" id="7" name="T_Summary" displayName="T_Summary" ref="A1:B9" headerRowCount="1">
  <autoFilter ref="A1:B9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SALES ANALYSIS DASHBOARD</t>
        </is>
      </c>
    </row>
    <row r="2">
      <c r="A2" s="4" t="inlineStr">
        <is>
          <t>Based on 100 sales records | 2026</t>
        </is>
      </c>
    </row>
    <row r="3"/>
    <row r="4">
      <c r="A4" s="5" t="inlineStr">
        <is>
          <t>Total Sales</t>
        </is>
      </c>
      <c r="D4" s="5" t="inlineStr">
        <is>
          <t>Total Profit</t>
        </is>
      </c>
      <c r="G4" s="5" t="inlineStr">
        <is>
          <t>Total Orders</t>
        </is>
      </c>
      <c r="J4" s="5" t="inlineStr">
        <is>
          <t>Total Quantity</t>
        </is>
      </c>
    </row>
    <row r="5">
      <c r="A5" s="7">
        <f>Summary!B2</f>
        <v/>
      </c>
      <c r="D5" s="7">
        <f>Summary!B3</f>
        <v/>
      </c>
      <c r="G5" s="7">
        <f>Summary!B4</f>
        <v/>
      </c>
      <c r="J5" s="7">
        <f>Summary!B5</f>
        <v/>
      </c>
    </row>
    <row r="6"/>
    <row r="7">
      <c r="A7" s="5" t="inlineStr">
        <is>
          <t>Average Sales</t>
        </is>
      </c>
      <c r="D7" s="5" t="inlineStr">
        <is>
          <t>Best Product</t>
        </is>
      </c>
      <c r="G7" s="5" t="inlineStr">
        <is>
          <t>Best Region</t>
        </is>
      </c>
      <c r="J7" s="5" t="inlineStr">
        <is>
          <t>Best Category</t>
        </is>
      </c>
    </row>
    <row r="8">
      <c r="A8" s="7">
        <f>Summary!B6</f>
        <v/>
      </c>
      <c r="D8" s="7">
        <f>Summary!B7</f>
        <v/>
      </c>
      <c r="G8" s="7">
        <f>Summary!B8</f>
        <v/>
      </c>
      <c r="J8" s="7">
        <f>Summary!B9</f>
        <v/>
      </c>
    </row>
    <row r="9"/>
    <row r="10"/>
    <row r="11">
      <c r="A11" s="9" t="inlineStr">
        <is>
          <t>KEY INSIGHTS</t>
        </is>
      </c>
    </row>
    <row r="12">
      <c r="A12">
        <f>"• Total sales generated: "&amp;TEXT(Summary!B2,"#,##0")</f>
        <v/>
      </c>
    </row>
    <row r="13">
      <c r="A13">
        <f>"• Total profit generated: "&amp;TEXT(Summary!B3,"#,##0.00")</f>
        <v/>
      </c>
    </row>
    <row r="14">
      <c r="A14">
        <f>"• Highest-sales product: "&amp;Summary!B7</f>
        <v/>
      </c>
    </row>
    <row r="15">
      <c r="A15">
        <f>"• Highest-sales region: "&amp;Summary!B8</f>
        <v/>
      </c>
    </row>
    <row r="16">
      <c r="A16">
        <f>"• Highest-sales category: "&amp;Summary!B9</f>
        <v/>
      </c>
    </row>
    <row r="17">
      <c r="A17">
        <f>"• Total quantity sold: "&amp;TEXT(Summary!B5,"#,##0")&amp;" units"</f>
        <v/>
      </c>
    </row>
  </sheetData>
  <mergeCells count="22">
    <mergeCell ref="J5:K5"/>
    <mergeCell ref="A15:E15"/>
    <mergeCell ref="G8:H8"/>
    <mergeCell ref="A7:B7"/>
    <mergeCell ref="G7:H7"/>
    <mergeCell ref="A16:E16"/>
    <mergeCell ref="J4:K4"/>
    <mergeCell ref="A12:E12"/>
    <mergeCell ref="D7:E7"/>
    <mergeCell ref="J7:K7"/>
    <mergeCell ref="A5:B5"/>
    <mergeCell ref="G5:H5"/>
    <mergeCell ref="D4:E4"/>
    <mergeCell ref="A14:E14"/>
    <mergeCell ref="A8:B8"/>
    <mergeCell ref="A17:E17"/>
    <mergeCell ref="A4:B4"/>
    <mergeCell ref="G4:H4"/>
    <mergeCell ref="D8:E8"/>
    <mergeCell ref="D5:E5"/>
    <mergeCell ref="A13:E13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0" t="inlineStr">
        <is>
          <t>Order_ID</t>
        </is>
      </c>
      <c r="B1" s="10" t="inlineStr">
        <is>
          <t>Date</t>
        </is>
      </c>
      <c r="C1" s="10" t="inlineStr">
        <is>
          <t>Product</t>
        </is>
      </c>
      <c r="D1" s="10" t="inlineStr">
        <is>
          <t>Category</t>
        </is>
      </c>
      <c r="E1" s="10" t="inlineStr">
        <is>
          <t>Region</t>
        </is>
      </c>
      <c r="F1" s="10" t="inlineStr">
        <is>
          <t>Quantity</t>
        </is>
      </c>
      <c r="G1" s="10" t="inlineStr">
        <is>
          <t>Unit_Price</t>
        </is>
      </c>
      <c r="H1" s="10" t="inlineStr">
        <is>
          <t>Sales</t>
        </is>
      </c>
      <c r="I1" s="10" t="inlineStr">
        <is>
          <t>Profit</t>
        </is>
      </c>
    </row>
    <row r="2">
      <c r="A2" t="n">
        <v>1001</v>
      </c>
      <c r="B2" s="11" t="n">
        <v>46029</v>
      </c>
      <c r="C2" t="inlineStr">
        <is>
          <t>Printer</t>
        </is>
      </c>
      <c r="D2" t="inlineStr">
        <is>
          <t>Electronics</t>
        </is>
      </c>
      <c r="E2" t="inlineStr">
        <is>
          <t>South</t>
        </is>
      </c>
      <c r="F2" t="n">
        <v>2</v>
      </c>
      <c r="G2" t="n">
        <v>15000</v>
      </c>
      <c r="H2" t="n">
        <v>30000</v>
      </c>
      <c r="I2" t="n">
        <v>6181.91</v>
      </c>
    </row>
    <row r="3">
      <c r="A3" t="n">
        <v>1002</v>
      </c>
      <c r="B3" s="11" t="n">
        <v>46049</v>
      </c>
      <c r="C3" t="inlineStr">
        <is>
          <t>Keyboard</t>
        </is>
      </c>
      <c r="D3" t="inlineStr">
        <is>
          <t>Electronics</t>
        </is>
      </c>
      <c r="E3" t="inlineStr">
        <is>
          <t>North</t>
        </is>
      </c>
      <c r="F3" t="n">
        <v>3</v>
      </c>
      <c r="G3" t="n">
        <v>1500</v>
      </c>
      <c r="H3" t="n">
        <v>4500</v>
      </c>
      <c r="I3" t="n">
        <v>877.6799999999999</v>
      </c>
    </row>
    <row r="4">
      <c r="A4" t="n">
        <v>1003</v>
      </c>
      <c r="B4" s="11" t="n">
        <v>46031</v>
      </c>
      <c r="C4" t="inlineStr">
        <is>
          <t>Pen Set</t>
        </is>
      </c>
      <c r="D4" t="inlineStr">
        <is>
          <t>Stationery</t>
        </is>
      </c>
      <c r="E4" t="inlineStr">
        <is>
          <t>South</t>
        </is>
      </c>
      <c r="F4" t="n">
        <v>7</v>
      </c>
      <c r="G4" t="n">
        <v>200</v>
      </c>
      <c r="H4" t="n">
        <v>1400</v>
      </c>
      <c r="I4" t="n">
        <v>119.09</v>
      </c>
    </row>
    <row r="5">
      <c r="A5" t="n">
        <v>1004</v>
      </c>
      <c r="B5" s="11" t="n">
        <v>46166</v>
      </c>
      <c r="C5" t="inlineStr">
        <is>
          <t>Keyboard</t>
        </is>
      </c>
      <c r="D5" t="inlineStr">
        <is>
          <t>Electronics</t>
        </is>
      </c>
      <c r="E5" t="inlineStr">
        <is>
          <t>West</t>
        </is>
      </c>
      <c r="F5" t="n">
        <v>1</v>
      </c>
      <c r="G5" t="n">
        <v>1500</v>
      </c>
      <c r="H5" t="n">
        <v>1500</v>
      </c>
      <c r="I5" t="n">
        <v>170.7</v>
      </c>
    </row>
    <row r="6">
      <c r="A6" t="n">
        <v>1005</v>
      </c>
      <c r="B6" s="11" t="n">
        <v>46173</v>
      </c>
      <c r="C6" t="inlineStr">
        <is>
          <t>Keyboard</t>
        </is>
      </c>
      <c r="D6" t="inlineStr">
        <is>
          <t>Electronics</t>
        </is>
      </c>
      <c r="E6" t="inlineStr">
        <is>
          <t>North</t>
        </is>
      </c>
      <c r="F6" t="n">
        <v>8</v>
      </c>
      <c r="G6" t="n">
        <v>1500</v>
      </c>
      <c r="H6" t="n">
        <v>12000</v>
      </c>
      <c r="I6" t="n">
        <v>1527.51</v>
      </c>
    </row>
    <row r="7">
      <c r="A7" t="n">
        <v>1006</v>
      </c>
      <c r="B7" s="11" t="n">
        <v>46201</v>
      </c>
      <c r="C7" t="inlineStr">
        <is>
          <t>Backpack</t>
        </is>
      </c>
      <c r="D7" t="inlineStr">
        <is>
          <t>Accessories</t>
        </is>
      </c>
      <c r="E7" t="inlineStr">
        <is>
          <t>East</t>
        </is>
      </c>
      <c r="F7" t="n">
        <v>3</v>
      </c>
      <c r="G7" t="n">
        <v>1800</v>
      </c>
      <c r="H7" t="n">
        <v>5400</v>
      </c>
      <c r="I7" t="n">
        <v>819.96</v>
      </c>
    </row>
    <row r="8">
      <c r="A8" t="n">
        <v>1007</v>
      </c>
      <c r="B8" s="11" t="n">
        <v>46109</v>
      </c>
      <c r="C8" t="inlineStr">
        <is>
          <t>Headphones</t>
        </is>
      </c>
      <c r="D8" t="inlineStr">
        <is>
          <t>Electronics</t>
        </is>
      </c>
      <c r="E8" t="inlineStr">
        <is>
          <t>West</t>
        </is>
      </c>
      <c r="F8" t="n">
        <v>4</v>
      </c>
      <c r="G8" t="n">
        <v>2500</v>
      </c>
      <c r="H8" t="n">
        <v>10000</v>
      </c>
      <c r="I8" t="n">
        <v>973.76</v>
      </c>
    </row>
    <row r="9">
      <c r="A9" t="n">
        <v>1008</v>
      </c>
      <c r="B9" s="11" t="n">
        <v>46111</v>
      </c>
      <c r="C9" t="inlineStr">
        <is>
          <t>Mobile</t>
        </is>
      </c>
      <c r="D9" t="inlineStr">
        <is>
          <t>Electronics</t>
        </is>
      </c>
      <c r="E9" t="inlineStr">
        <is>
          <t>North</t>
        </is>
      </c>
      <c r="F9" t="n">
        <v>6</v>
      </c>
      <c r="G9" t="n">
        <v>20000</v>
      </c>
      <c r="H9" t="n">
        <v>120000</v>
      </c>
      <c r="I9" t="n">
        <v>21916.01</v>
      </c>
    </row>
    <row r="10">
      <c r="A10" t="n">
        <v>1009</v>
      </c>
      <c r="B10" s="11" t="n">
        <v>46160</v>
      </c>
      <c r="C10" t="inlineStr">
        <is>
          <t>Tablet</t>
        </is>
      </c>
      <c r="D10" t="inlineStr">
        <is>
          <t>Electronics</t>
        </is>
      </c>
      <c r="E10" t="inlineStr">
        <is>
          <t>West</t>
        </is>
      </c>
      <c r="F10" t="n">
        <v>8</v>
      </c>
      <c r="G10" t="n">
        <v>25000</v>
      </c>
      <c r="H10" t="n">
        <v>200000</v>
      </c>
      <c r="I10" t="n">
        <v>20244.09</v>
      </c>
    </row>
    <row r="11">
      <c r="A11" t="n">
        <v>1010</v>
      </c>
      <c r="B11" s="11" t="n">
        <v>46183</v>
      </c>
      <c r="C11" t="inlineStr">
        <is>
          <t>Mobile</t>
        </is>
      </c>
      <c r="D11" t="inlineStr">
        <is>
          <t>Electronics</t>
        </is>
      </c>
      <c r="E11" t="inlineStr">
        <is>
          <t>East</t>
        </is>
      </c>
      <c r="F11" t="n">
        <v>5</v>
      </c>
      <c r="G11" t="n">
        <v>20000</v>
      </c>
      <c r="H11" t="n">
        <v>100000</v>
      </c>
      <c r="I11" t="n">
        <v>18514.84</v>
      </c>
    </row>
    <row r="12">
      <c r="A12" t="n">
        <v>1011</v>
      </c>
      <c r="B12" s="11" t="n">
        <v>46040</v>
      </c>
      <c r="C12" t="inlineStr">
        <is>
          <t>Pen Set</t>
        </is>
      </c>
      <c r="D12" t="inlineStr">
        <is>
          <t>Stationery</t>
        </is>
      </c>
      <c r="E12" t="inlineStr">
        <is>
          <t>South</t>
        </is>
      </c>
      <c r="F12" t="n">
        <v>4</v>
      </c>
      <c r="G12" t="n">
        <v>200</v>
      </c>
      <c r="H12" t="n">
        <v>800</v>
      </c>
      <c r="I12" t="n">
        <v>70.23</v>
      </c>
    </row>
    <row r="13">
      <c r="A13" t="n">
        <v>1012</v>
      </c>
      <c r="B13" s="11" t="n">
        <v>46043</v>
      </c>
      <c r="C13" t="inlineStr">
        <is>
          <t>Backpack</t>
        </is>
      </c>
      <c r="D13" t="inlineStr">
        <is>
          <t>Accessories</t>
        </is>
      </c>
      <c r="E13" t="inlineStr">
        <is>
          <t>North</t>
        </is>
      </c>
      <c r="F13" t="n">
        <v>5</v>
      </c>
      <c r="G13" t="n">
        <v>1800</v>
      </c>
      <c r="H13" t="n">
        <v>9000</v>
      </c>
      <c r="I13" t="n">
        <v>2028.64</v>
      </c>
    </row>
    <row r="14">
      <c r="A14" t="n">
        <v>1013</v>
      </c>
      <c r="B14" s="11" t="n">
        <v>46139</v>
      </c>
      <c r="C14" t="inlineStr">
        <is>
          <t>Desk</t>
        </is>
      </c>
      <c r="D14" t="inlineStr">
        <is>
          <t>Furniture</t>
        </is>
      </c>
      <c r="E14" t="inlineStr">
        <is>
          <t>East</t>
        </is>
      </c>
      <c r="F14" t="n">
        <v>5</v>
      </c>
      <c r="G14" t="n">
        <v>9000</v>
      </c>
      <c r="H14" t="n">
        <v>45000</v>
      </c>
      <c r="I14" t="n">
        <v>8462.99</v>
      </c>
    </row>
    <row r="15">
      <c r="A15" t="n">
        <v>1014</v>
      </c>
      <c r="B15" s="11" t="n">
        <v>46113</v>
      </c>
      <c r="C15" t="inlineStr">
        <is>
          <t>Headphones</t>
        </is>
      </c>
      <c r="D15" t="inlineStr">
        <is>
          <t>Electronics</t>
        </is>
      </c>
      <c r="E15" t="inlineStr">
        <is>
          <t>East</t>
        </is>
      </c>
      <c r="F15" t="n">
        <v>6</v>
      </c>
      <c r="G15" t="n">
        <v>2500</v>
      </c>
      <c r="H15" t="n">
        <v>15000</v>
      </c>
      <c r="I15" t="n">
        <v>1734.24</v>
      </c>
    </row>
    <row r="16">
      <c r="A16" t="n">
        <v>1015</v>
      </c>
      <c r="B16" s="11" t="n">
        <v>46178</v>
      </c>
      <c r="C16" t="inlineStr">
        <is>
          <t>Tablet</t>
        </is>
      </c>
      <c r="D16" t="inlineStr">
        <is>
          <t>Electronics</t>
        </is>
      </c>
      <c r="E16" t="inlineStr">
        <is>
          <t>South</t>
        </is>
      </c>
      <c r="F16" t="n">
        <v>2</v>
      </c>
      <c r="G16" t="n">
        <v>25000</v>
      </c>
      <c r="H16" t="n">
        <v>50000</v>
      </c>
      <c r="I16" t="n">
        <v>9397.32</v>
      </c>
    </row>
    <row r="17">
      <c r="A17" t="n">
        <v>1016</v>
      </c>
      <c r="B17" s="11" t="n">
        <v>46120</v>
      </c>
      <c r="C17" t="inlineStr">
        <is>
          <t>Headphones</t>
        </is>
      </c>
      <c r="D17" t="inlineStr">
        <is>
          <t>Electronics</t>
        </is>
      </c>
      <c r="E17" t="inlineStr">
        <is>
          <t>South</t>
        </is>
      </c>
      <c r="F17" t="n">
        <v>8</v>
      </c>
      <c r="G17" t="n">
        <v>2500</v>
      </c>
      <c r="H17" t="n">
        <v>20000</v>
      </c>
      <c r="I17" t="n">
        <v>2517.82</v>
      </c>
    </row>
    <row r="18">
      <c r="A18" t="n">
        <v>1017</v>
      </c>
      <c r="B18" s="11" t="n">
        <v>46037</v>
      </c>
      <c r="C18" t="inlineStr">
        <is>
          <t>Printer</t>
        </is>
      </c>
      <c r="D18" t="inlineStr">
        <is>
          <t>Electronics</t>
        </is>
      </c>
      <c r="E18" t="inlineStr">
        <is>
          <t>North</t>
        </is>
      </c>
      <c r="F18" t="n">
        <v>6</v>
      </c>
      <c r="G18" t="n">
        <v>15000</v>
      </c>
      <c r="H18" t="n">
        <v>90000</v>
      </c>
      <c r="I18" t="n">
        <v>10704.44</v>
      </c>
    </row>
    <row r="19">
      <c r="A19" t="n">
        <v>1018</v>
      </c>
      <c r="B19" s="11" t="n">
        <v>46125</v>
      </c>
      <c r="C19" t="inlineStr">
        <is>
          <t>Backpack</t>
        </is>
      </c>
      <c r="D19" t="inlineStr">
        <is>
          <t>Accessories</t>
        </is>
      </c>
      <c r="E19" t="inlineStr">
        <is>
          <t>South</t>
        </is>
      </c>
      <c r="F19" t="n">
        <v>6</v>
      </c>
      <c r="G19" t="n">
        <v>1800</v>
      </c>
      <c r="H19" t="n">
        <v>10800</v>
      </c>
      <c r="I19" t="n">
        <v>1355.57</v>
      </c>
    </row>
    <row r="20">
      <c r="A20" t="n">
        <v>1019</v>
      </c>
      <c r="B20" s="11" t="n">
        <v>46077</v>
      </c>
      <c r="C20" t="inlineStr">
        <is>
          <t>USB Drive</t>
        </is>
      </c>
      <c r="D20" t="inlineStr">
        <is>
          <t>Accessories</t>
        </is>
      </c>
      <c r="E20" t="inlineStr">
        <is>
          <t>West</t>
        </is>
      </c>
      <c r="F20" t="n">
        <v>6</v>
      </c>
      <c r="G20" t="n">
        <v>700</v>
      </c>
      <c r="H20" t="n">
        <v>4200</v>
      </c>
      <c r="I20" t="n">
        <v>803.98</v>
      </c>
    </row>
    <row r="21">
      <c r="A21" t="n">
        <v>1020</v>
      </c>
      <c r="B21" s="11" t="n">
        <v>46059</v>
      </c>
      <c r="C21" t="inlineStr">
        <is>
          <t>USB Drive</t>
        </is>
      </c>
      <c r="D21" t="inlineStr">
        <is>
          <t>Accessories</t>
        </is>
      </c>
      <c r="E21" t="inlineStr">
        <is>
          <t>South</t>
        </is>
      </c>
      <c r="F21" t="n">
        <v>8</v>
      </c>
      <c r="G21" t="n">
        <v>700</v>
      </c>
      <c r="H21" t="n">
        <v>5600</v>
      </c>
      <c r="I21" t="n">
        <v>700.17</v>
      </c>
    </row>
    <row r="22">
      <c r="A22" t="n">
        <v>1021</v>
      </c>
      <c r="B22" s="11" t="n">
        <v>46172</v>
      </c>
      <c r="C22" t="inlineStr">
        <is>
          <t>Tablet</t>
        </is>
      </c>
      <c r="D22" t="inlineStr">
        <is>
          <t>Electronics</t>
        </is>
      </c>
      <c r="E22" t="inlineStr">
        <is>
          <t>West</t>
        </is>
      </c>
      <c r="F22" t="n">
        <v>5</v>
      </c>
      <c r="G22" t="n">
        <v>25000</v>
      </c>
      <c r="H22" t="n">
        <v>125000</v>
      </c>
      <c r="I22" t="n">
        <v>19104.22</v>
      </c>
    </row>
    <row r="23">
      <c r="A23" t="n">
        <v>1022</v>
      </c>
      <c r="B23" s="11" t="n">
        <v>46058</v>
      </c>
      <c r="C23" t="inlineStr">
        <is>
          <t>Office Chair</t>
        </is>
      </c>
      <c r="D23" t="inlineStr">
        <is>
          <t>Furniture</t>
        </is>
      </c>
      <c r="E23" t="inlineStr">
        <is>
          <t>North</t>
        </is>
      </c>
      <c r="F23" t="n">
        <v>4</v>
      </c>
      <c r="G23" t="n">
        <v>7000</v>
      </c>
      <c r="H23" t="n">
        <v>28000</v>
      </c>
      <c r="I23" t="n">
        <v>4665.35</v>
      </c>
    </row>
    <row r="24">
      <c r="A24" t="n">
        <v>1023</v>
      </c>
      <c r="B24" s="11" t="n">
        <v>46051</v>
      </c>
      <c r="C24" t="inlineStr">
        <is>
          <t>Backpack</t>
        </is>
      </c>
      <c r="D24" t="inlineStr">
        <is>
          <t>Accessories</t>
        </is>
      </c>
      <c r="E24" t="inlineStr">
        <is>
          <t>South</t>
        </is>
      </c>
      <c r="F24" t="n">
        <v>1</v>
      </c>
      <c r="G24" t="n">
        <v>1800</v>
      </c>
      <c r="H24" t="n">
        <v>1800</v>
      </c>
      <c r="I24" t="n">
        <v>190.77</v>
      </c>
    </row>
    <row r="25">
      <c r="A25" t="n">
        <v>1024</v>
      </c>
      <c r="B25" s="11" t="n">
        <v>46175</v>
      </c>
      <c r="C25" t="inlineStr">
        <is>
          <t>Backpack</t>
        </is>
      </c>
      <c r="D25" t="inlineStr">
        <is>
          <t>Accessories</t>
        </is>
      </c>
      <c r="E25" t="inlineStr">
        <is>
          <t>West</t>
        </is>
      </c>
      <c r="F25" t="n">
        <v>7</v>
      </c>
      <c r="G25" t="n">
        <v>1800</v>
      </c>
      <c r="H25" t="n">
        <v>12600</v>
      </c>
      <c r="I25" t="n">
        <v>1144.08</v>
      </c>
    </row>
    <row r="26">
      <c r="A26" t="n">
        <v>1025</v>
      </c>
      <c r="B26" s="11" t="n">
        <v>46158</v>
      </c>
      <c r="C26" t="inlineStr">
        <is>
          <t>Pen Set</t>
        </is>
      </c>
      <c r="D26" t="inlineStr">
        <is>
          <t>Stationery</t>
        </is>
      </c>
      <c r="E26" t="inlineStr">
        <is>
          <t>North</t>
        </is>
      </c>
      <c r="F26" t="n">
        <v>8</v>
      </c>
      <c r="G26" t="n">
        <v>200</v>
      </c>
      <c r="H26" t="n">
        <v>1600</v>
      </c>
      <c r="I26" t="n">
        <v>196.38</v>
      </c>
    </row>
    <row r="27">
      <c r="A27" t="n">
        <v>1026</v>
      </c>
      <c r="B27" s="11" t="n">
        <v>46197</v>
      </c>
      <c r="C27" t="inlineStr">
        <is>
          <t>Printer</t>
        </is>
      </c>
      <c r="D27" t="inlineStr">
        <is>
          <t>Electronics</t>
        </is>
      </c>
      <c r="E27" t="inlineStr">
        <is>
          <t>East</t>
        </is>
      </c>
      <c r="F27" t="n">
        <v>2</v>
      </c>
      <c r="G27" t="n">
        <v>15000</v>
      </c>
      <c r="H27" t="n">
        <v>30000</v>
      </c>
      <c r="I27" t="n">
        <v>6912.42</v>
      </c>
    </row>
    <row r="28">
      <c r="A28" t="n">
        <v>1027</v>
      </c>
      <c r="B28" s="11" t="n">
        <v>46051</v>
      </c>
      <c r="C28" t="inlineStr">
        <is>
          <t>Backpack</t>
        </is>
      </c>
      <c r="D28" t="inlineStr">
        <is>
          <t>Accessories</t>
        </is>
      </c>
      <c r="E28" t="inlineStr">
        <is>
          <t>South</t>
        </is>
      </c>
      <c r="F28" t="n">
        <v>6</v>
      </c>
      <c r="G28" t="n">
        <v>1800</v>
      </c>
      <c r="H28" t="n">
        <v>10800</v>
      </c>
      <c r="I28" t="n">
        <v>1402.87</v>
      </c>
    </row>
    <row r="29">
      <c r="A29" t="n">
        <v>1028</v>
      </c>
      <c r="B29" s="11" t="n">
        <v>46090</v>
      </c>
      <c r="C29" t="inlineStr">
        <is>
          <t>Bookshelf</t>
        </is>
      </c>
      <c r="D29" t="inlineStr">
        <is>
          <t>Furniture</t>
        </is>
      </c>
      <c r="E29" t="inlineStr">
        <is>
          <t>South</t>
        </is>
      </c>
      <c r="F29" t="n">
        <v>1</v>
      </c>
      <c r="G29" t="n">
        <v>6000</v>
      </c>
      <c r="H29" t="n">
        <v>6000</v>
      </c>
      <c r="I29" t="n">
        <v>1471.33</v>
      </c>
    </row>
    <row r="30">
      <c r="A30" t="n">
        <v>1029</v>
      </c>
      <c r="B30" s="11" t="n">
        <v>46183</v>
      </c>
      <c r="C30" t="inlineStr">
        <is>
          <t>Notebook</t>
        </is>
      </c>
      <c r="D30" t="inlineStr">
        <is>
          <t>Stationery</t>
        </is>
      </c>
      <c r="E30" t="inlineStr">
        <is>
          <t>South</t>
        </is>
      </c>
      <c r="F30" t="n">
        <v>2</v>
      </c>
      <c r="G30" t="n">
        <v>100</v>
      </c>
      <c r="H30" t="n">
        <v>200</v>
      </c>
      <c r="I30" t="n">
        <v>26.15</v>
      </c>
    </row>
    <row r="31">
      <c r="A31" t="n">
        <v>1030</v>
      </c>
      <c r="B31" s="11" t="n">
        <v>46064</v>
      </c>
      <c r="C31" t="inlineStr">
        <is>
          <t>Headphones</t>
        </is>
      </c>
      <c r="D31" t="inlineStr">
        <is>
          <t>Electronics</t>
        </is>
      </c>
      <c r="E31" t="inlineStr">
        <is>
          <t>North</t>
        </is>
      </c>
      <c r="F31" t="n">
        <v>6</v>
      </c>
      <c r="G31" t="n">
        <v>2500</v>
      </c>
      <c r="H31" t="n">
        <v>15000</v>
      </c>
      <c r="I31" t="n">
        <v>2575.42</v>
      </c>
    </row>
    <row r="32">
      <c r="A32" t="n">
        <v>1031</v>
      </c>
      <c r="B32" s="11" t="n">
        <v>46148</v>
      </c>
      <c r="C32" t="inlineStr">
        <is>
          <t>Pen Set</t>
        </is>
      </c>
      <c r="D32" t="inlineStr">
        <is>
          <t>Stationery</t>
        </is>
      </c>
      <c r="E32" t="inlineStr">
        <is>
          <t>East</t>
        </is>
      </c>
      <c r="F32" t="n">
        <v>6</v>
      </c>
      <c r="G32" t="n">
        <v>200</v>
      </c>
      <c r="H32" t="n">
        <v>1200</v>
      </c>
      <c r="I32" t="n">
        <v>99.97</v>
      </c>
    </row>
    <row r="33">
      <c r="A33" t="n">
        <v>1032</v>
      </c>
      <c r="B33" s="11" t="n">
        <v>46084</v>
      </c>
      <c r="C33" t="inlineStr">
        <is>
          <t>USB Drive</t>
        </is>
      </c>
      <c r="D33" t="inlineStr">
        <is>
          <t>Accessories</t>
        </is>
      </c>
      <c r="E33" t="inlineStr">
        <is>
          <t>North</t>
        </is>
      </c>
      <c r="F33" t="n">
        <v>5</v>
      </c>
      <c r="G33" t="n">
        <v>700</v>
      </c>
      <c r="H33" t="n">
        <v>3500</v>
      </c>
      <c r="I33" t="n">
        <v>314.47</v>
      </c>
    </row>
    <row r="34">
      <c r="A34" t="n">
        <v>1033</v>
      </c>
      <c r="B34" s="11" t="n">
        <v>46040</v>
      </c>
      <c r="C34" t="inlineStr">
        <is>
          <t>Mobile</t>
        </is>
      </c>
      <c r="D34" t="inlineStr">
        <is>
          <t>Electronics</t>
        </is>
      </c>
      <c r="E34" t="inlineStr">
        <is>
          <t>South</t>
        </is>
      </c>
      <c r="F34" t="n">
        <v>8</v>
      </c>
      <c r="G34" t="n">
        <v>20000</v>
      </c>
      <c r="H34" t="n">
        <v>160000</v>
      </c>
      <c r="I34" t="n">
        <v>39401.18</v>
      </c>
    </row>
    <row r="35">
      <c r="A35" t="n">
        <v>1034</v>
      </c>
      <c r="B35" s="11" t="n">
        <v>46163</v>
      </c>
      <c r="C35" t="inlineStr">
        <is>
          <t>Headphones</t>
        </is>
      </c>
      <c r="D35" t="inlineStr">
        <is>
          <t>Electronics</t>
        </is>
      </c>
      <c r="E35" t="inlineStr">
        <is>
          <t>West</t>
        </is>
      </c>
      <c r="F35" t="n">
        <v>8</v>
      </c>
      <c r="G35" t="n">
        <v>2500</v>
      </c>
      <c r="H35" t="n">
        <v>20000</v>
      </c>
      <c r="I35" t="n">
        <v>2161.43</v>
      </c>
    </row>
    <row r="36">
      <c r="A36" t="n">
        <v>1035</v>
      </c>
      <c r="B36" s="11" t="n">
        <v>46102</v>
      </c>
      <c r="C36" t="inlineStr">
        <is>
          <t>Keyboard</t>
        </is>
      </c>
      <c r="D36" t="inlineStr">
        <is>
          <t>Electronics</t>
        </is>
      </c>
      <c r="E36" t="inlineStr">
        <is>
          <t>East</t>
        </is>
      </c>
      <c r="F36" t="n">
        <v>4</v>
      </c>
      <c r="G36" t="n">
        <v>1500</v>
      </c>
      <c r="H36" t="n">
        <v>6000</v>
      </c>
      <c r="I36" t="n">
        <v>886.97</v>
      </c>
    </row>
    <row r="37">
      <c r="A37" t="n">
        <v>1036</v>
      </c>
      <c r="B37" s="11" t="n">
        <v>46053</v>
      </c>
      <c r="C37" t="inlineStr">
        <is>
          <t>Bookshelf</t>
        </is>
      </c>
      <c r="D37" t="inlineStr">
        <is>
          <t>Furniture</t>
        </is>
      </c>
      <c r="E37" t="inlineStr">
        <is>
          <t>North</t>
        </is>
      </c>
      <c r="F37" t="n">
        <v>8</v>
      </c>
      <c r="G37" t="n">
        <v>6000</v>
      </c>
      <c r="H37" t="n">
        <v>48000</v>
      </c>
      <c r="I37" t="n">
        <v>5862.91</v>
      </c>
    </row>
    <row r="38">
      <c r="A38" t="n">
        <v>1037</v>
      </c>
      <c r="B38" s="11" t="n">
        <v>46173</v>
      </c>
      <c r="C38" t="inlineStr">
        <is>
          <t>Office Chair</t>
        </is>
      </c>
      <c r="D38" t="inlineStr">
        <is>
          <t>Furniture</t>
        </is>
      </c>
      <c r="E38" t="inlineStr">
        <is>
          <t>South</t>
        </is>
      </c>
      <c r="F38" t="n">
        <v>1</v>
      </c>
      <c r="G38" t="n">
        <v>7000</v>
      </c>
      <c r="H38" t="n">
        <v>7000</v>
      </c>
      <c r="I38" t="n">
        <v>1219.17</v>
      </c>
    </row>
    <row r="39">
      <c r="A39" t="n">
        <v>1038</v>
      </c>
      <c r="B39" s="11" t="n">
        <v>46184</v>
      </c>
      <c r="C39" t="inlineStr">
        <is>
          <t>Laptop</t>
        </is>
      </c>
      <c r="D39" t="inlineStr">
        <is>
          <t>Electronics</t>
        </is>
      </c>
      <c r="E39" t="inlineStr">
        <is>
          <t>North</t>
        </is>
      </c>
      <c r="F39" t="n">
        <v>2</v>
      </c>
      <c r="G39" t="n">
        <v>45000</v>
      </c>
      <c r="H39" t="n">
        <v>90000</v>
      </c>
      <c r="I39" t="n">
        <v>8100.77</v>
      </c>
    </row>
    <row r="40">
      <c r="A40" t="n">
        <v>1039</v>
      </c>
      <c r="B40" s="11" t="n">
        <v>46107</v>
      </c>
      <c r="C40" t="inlineStr">
        <is>
          <t>USB Drive</t>
        </is>
      </c>
      <c r="D40" t="inlineStr">
        <is>
          <t>Accessories</t>
        </is>
      </c>
      <c r="E40" t="inlineStr">
        <is>
          <t>South</t>
        </is>
      </c>
      <c r="F40" t="n">
        <v>1</v>
      </c>
      <c r="G40" t="n">
        <v>700</v>
      </c>
      <c r="H40" t="n">
        <v>700</v>
      </c>
      <c r="I40" t="n">
        <v>64.43000000000001</v>
      </c>
    </row>
    <row r="41">
      <c r="A41" t="n">
        <v>1040</v>
      </c>
      <c r="B41" s="11" t="n">
        <v>46077</v>
      </c>
      <c r="C41" t="inlineStr">
        <is>
          <t>Monitor</t>
        </is>
      </c>
      <c r="D41" t="inlineStr">
        <is>
          <t>Electronics</t>
        </is>
      </c>
      <c r="E41" t="inlineStr">
        <is>
          <t>West</t>
        </is>
      </c>
      <c r="F41" t="n">
        <v>8</v>
      </c>
      <c r="G41" t="n">
        <v>12000</v>
      </c>
      <c r="H41" t="n">
        <v>96000</v>
      </c>
      <c r="I41" t="n">
        <v>16480.3</v>
      </c>
    </row>
    <row r="42">
      <c r="A42" t="n">
        <v>1041</v>
      </c>
      <c r="B42" s="11" t="n">
        <v>46127</v>
      </c>
      <c r="C42" t="inlineStr">
        <is>
          <t>Keyboard</t>
        </is>
      </c>
      <c r="D42" t="inlineStr">
        <is>
          <t>Electronics</t>
        </is>
      </c>
      <c r="E42" t="inlineStr">
        <is>
          <t>North</t>
        </is>
      </c>
      <c r="F42" t="n">
        <v>8</v>
      </c>
      <c r="G42" t="n">
        <v>1500</v>
      </c>
      <c r="H42" t="n">
        <v>12000</v>
      </c>
      <c r="I42" t="n">
        <v>1348.44</v>
      </c>
    </row>
    <row r="43">
      <c r="A43" t="n">
        <v>1042</v>
      </c>
      <c r="B43" s="11" t="n">
        <v>46113</v>
      </c>
      <c r="C43" t="inlineStr">
        <is>
          <t>Printer</t>
        </is>
      </c>
      <c r="D43" t="inlineStr">
        <is>
          <t>Electronics</t>
        </is>
      </c>
      <c r="E43" t="inlineStr">
        <is>
          <t>West</t>
        </is>
      </c>
      <c r="F43" t="n">
        <v>7</v>
      </c>
      <c r="G43" t="n">
        <v>15000</v>
      </c>
      <c r="H43" t="n">
        <v>105000</v>
      </c>
      <c r="I43" t="n">
        <v>15960.88</v>
      </c>
    </row>
    <row r="44">
      <c r="A44" t="n">
        <v>1043</v>
      </c>
      <c r="B44" s="11" t="n">
        <v>46195</v>
      </c>
      <c r="C44" t="inlineStr">
        <is>
          <t>Mouse</t>
        </is>
      </c>
      <c r="D44" t="inlineStr">
        <is>
          <t>Electronics</t>
        </is>
      </c>
      <c r="E44" t="inlineStr">
        <is>
          <t>North</t>
        </is>
      </c>
      <c r="F44" t="n">
        <v>1</v>
      </c>
      <c r="G44" t="n">
        <v>800</v>
      </c>
      <c r="H44" t="n">
        <v>800</v>
      </c>
      <c r="I44" t="n">
        <v>152.87</v>
      </c>
    </row>
    <row r="45">
      <c r="A45" t="n">
        <v>1044</v>
      </c>
      <c r="B45" s="11" t="n">
        <v>46109</v>
      </c>
      <c r="C45" t="inlineStr">
        <is>
          <t>Laptop</t>
        </is>
      </c>
      <c r="D45" t="inlineStr">
        <is>
          <t>Electronics</t>
        </is>
      </c>
      <c r="E45" t="inlineStr">
        <is>
          <t>North</t>
        </is>
      </c>
      <c r="F45" t="n">
        <v>7</v>
      </c>
      <c r="G45" t="n">
        <v>45000</v>
      </c>
      <c r="H45" t="n">
        <v>315000</v>
      </c>
      <c r="I45" t="n">
        <v>68071.73</v>
      </c>
    </row>
    <row r="46">
      <c r="A46" t="n">
        <v>1045</v>
      </c>
      <c r="B46" s="11" t="n">
        <v>46071</v>
      </c>
      <c r="C46" t="inlineStr">
        <is>
          <t>Keyboard</t>
        </is>
      </c>
      <c r="D46" t="inlineStr">
        <is>
          <t>Electronics</t>
        </is>
      </c>
      <c r="E46" t="inlineStr">
        <is>
          <t>South</t>
        </is>
      </c>
      <c r="F46" t="n">
        <v>4</v>
      </c>
      <c r="G46" t="n">
        <v>1500</v>
      </c>
      <c r="H46" t="n">
        <v>6000</v>
      </c>
      <c r="I46" t="n">
        <v>1027.01</v>
      </c>
    </row>
    <row r="47">
      <c r="A47" t="n">
        <v>1046</v>
      </c>
      <c r="B47" s="11" t="n">
        <v>46094</v>
      </c>
      <c r="C47" t="inlineStr">
        <is>
          <t>Desk</t>
        </is>
      </c>
      <c r="D47" t="inlineStr">
        <is>
          <t>Furniture</t>
        </is>
      </c>
      <c r="E47" t="inlineStr">
        <is>
          <t>North</t>
        </is>
      </c>
      <c r="F47" t="n">
        <v>3</v>
      </c>
      <c r="G47" t="n">
        <v>9000</v>
      </c>
      <c r="H47" t="n">
        <v>27000</v>
      </c>
      <c r="I47" t="n">
        <v>4283.46</v>
      </c>
    </row>
    <row r="48">
      <c r="A48" t="n">
        <v>1047</v>
      </c>
      <c r="B48" s="11" t="n">
        <v>46035</v>
      </c>
      <c r="C48" t="inlineStr">
        <is>
          <t>Bookshelf</t>
        </is>
      </c>
      <c r="D48" t="inlineStr">
        <is>
          <t>Furniture</t>
        </is>
      </c>
      <c r="E48" t="inlineStr">
        <is>
          <t>North</t>
        </is>
      </c>
      <c r="F48" t="n">
        <v>2</v>
      </c>
      <c r="G48" t="n">
        <v>6000</v>
      </c>
      <c r="H48" t="n">
        <v>12000</v>
      </c>
      <c r="I48" t="n">
        <v>2290.38</v>
      </c>
    </row>
    <row r="49">
      <c r="A49" t="n">
        <v>1048</v>
      </c>
      <c r="B49" s="11" t="n">
        <v>46065</v>
      </c>
      <c r="C49" t="inlineStr">
        <is>
          <t>Mobile</t>
        </is>
      </c>
      <c r="D49" t="inlineStr">
        <is>
          <t>Electronics</t>
        </is>
      </c>
      <c r="E49" t="inlineStr">
        <is>
          <t>West</t>
        </is>
      </c>
      <c r="F49" t="n">
        <v>4</v>
      </c>
      <c r="G49" t="n">
        <v>20000</v>
      </c>
      <c r="H49" t="n">
        <v>80000</v>
      </c>
      <c r="I49" t="n">
        <v>11927.23</v>
      </c>
    </row>
    <row r="50">
      <c r="A50" t="n">
        <v>1049</v>
      </c>
      <c r="B50" s="11" t="n">
        <v>46038</v>
      </c>
      <c r="C50" t="inlineStr">
        <is>
          <t>Keyboard</t>
        </is>
      </c>
      <c r="D50" t="inlineStr">
        <is>
          <t>Electronics</t>
        </is>
      </c>
      <c r="E50" t="inlineStr">
        <is>
          <t>North</t>
        </is>
      </c>
      <c r="F50" t="n">
        <v>7</v>
      </c>
      <c r="G50" t="n">
        <v>1500</v>
      </c>
      <c r="H50" t="n">
        <v>10500</v>
      </c>
      <c r="I50" t="n">
        <v>1133.88</v>
      </c>
    </row>
    <row r="51">
      <c r="A51" t="n">
        <v>1050</v>
      </c>
      <c r="B51" s="11" t="n">
        <v>46139</v>
      </c>
      <c r="C51" t="inlineStr">
        <is>
          <t>Desk</t>
        </is>
      </c>
      <c r="D51" t="inlineStr">
        <is>
          <t>Furniture</t>
        </is>
      </c>
      <c r="E51" t="inlineStr">
        <is>
          <t>West</t>
        </is>
      </c>
      <c r="F51" t="n">
        <v>5</v>
      </c>
      <c r="G51" t="n">
        <v>9000</v>
      </c>
      <c r="H51" t="n">
        <v>45000</v>
      </c>
      <c r="I51" t="n">
        <v>5782.16</v>
      </c>
    </row>
    <row r="52">
      <c r="A52" t="n">
        <v>1051</v>
      </c>
      <c r="B52" s="11" t="n">
        <v>46098</v>
      </c>
      <c r="C52" t="inlineStr">
        <is>
          <t>Headphones</t>
        </is>
      </c>
      <c r="D52" t="inlineStr">
        <is>
          <t>Electronics</t>
        </is>
      </c>
      <c r="E52" t="inlineStr">
        <is>
          <t>North</t>
        </is>
      </c>
      <c r="F52" t="n">
        <v>4</v>
      </c>
      <c r="G52" t="n">
        <v>2500</v>
      </c>
      <c r="H52" t="n">
        <v>10000</v>
      </c>
      <c r="I52" t="n">
        <v>1170.09</v>
      </c>
    </row>
    <row r="53">
      <c r="A53" t="n">
        <v>1052</v>
      </c>
      <c r="B53" s="11" t="n">
        <v>46103</v>
      </c>
      <c r="C53" t="inlineStr">
        <is>
          <t>Pen Set</t>
        </is>
      </c>
      <c r="D53" t="inlineStr">
        <is>
          <t>Stationery</t>
        </is>
      </c>
      <c r="E53" t="inlineStr">
        <is>
          <t>West</t>
        </is>
      </c>
      <c r="F53" t="n">
        <v>1</v>
      </c>
      <c r="G53" t="n">
        <v>200</v>
      </c>
      <c r="H53" t="n">
        <v>200</v>
      </c>
      <c r="I53" t="n">
        <v>17.94</v>
      </c>
    </row>
    <row r="54">
      <c r="A54" t="n">
        <v>1053</v>
      </c>
      <c r="B54" s="11" t="n">
        <v>46037</v>
      </c>
      <c r="C54" t="inlineStr">
        <is>
          <t>Notebook</t>
        </is>
      </c>
      <c r="D54" t="inlineStr">
        <is>
          <t>Stationery</t>
        </is>
      </c>
      <c r="E54" t="inlineStr">
        <is>
          <t>North</t>
        </is>
      </c>
      <c r="F54" t="n">
        <v>3</v>
      </c>
      <c r="G54" t="n">
        <v>100</v>
      </c>
      <c r="H54" t="n">
        <v>300</v>
      </c>
      <c r="I54" t="n">
        <v>73</v>
      </c>
    </row>
    <row r="55">
      <c r="A55" t="n">
        <v>1054</v>
      </c>
      <c r="B55" s="11" t="n">
        <v>46040</v>
      </c>
      <c r="C55" t="inlineStr">
        <is>
          <t>Mouse</t>
        </is>
      </c>
      <c r="D55" t="inlineStr">
        <is>
          <t>Electronics</t>
        </is>
      </c>
      <c r="E55" t="inlineStr">
        <is>
          <t>South</t>
        </is>
      </c>
      <c r="F55" t="n">
        <v>3</v>
      </c>
      <c r="G55" t="n">
        <v>800</v>
      </c>
      <c r="H55" t="n">
        <v>2400</v>
      </c>
      <c r="I55" t="n">
        <v>434.77</v>
      </c>
    </row>
    <row r="56">
      <c r="A56" t="n">
        <v>1055</v>
      </c>
      <c r="B56" s="11" t="n">
        <v>46168</v>
      </c>
      <c r="C56" t="inlineStr">
        <is>
          <t>Desk</t>
        </is>
      </c>
      <c r="D56" t="inlineStr">
        <is>
          <t>Furniture</t>
        </is>
      </c>
      <c r="E56" t="inlineStr">
        <is>
          <t>North</t>
        </is>
      </c>
      <c r="F56" t="n">
        <v>2</v>
      </c>
      <c r="G56" t="n">
        <v>9000</v>
      </c>
      <c r="H56" t="n">
        <v>18000</v>
      </c>
      <c r="I56" t="n">
        <v>2193.42</v>
      </c>
    </row>
    <row r="57">
      <c r="A57" t="n">
        <v>1056</v>
      </c>
      <c r="B57" s="11" t="n">
        <v>46130</v>
      </c>
      <c r="C57" t="inlineStr">
        <is>
          <t>Pen Set</t>
        </is>
      </c>
      <c r="D57" t="inlineStr">
        <is>
          <t>Stationery</t>
        </is>
      </c>
      <c r="E57" t="inlineStr">
        <is>
          <t>East</t>
        </is>
      </c>
      <c r="F57" t="n">
        <v>2</v>
      </c>
      <c r="G57" t="n">
        <v>200</v>
      </c>
      <c r="H57" t="n">
        <v>400</v>
      </c>
      <c r="I57" t="n">
        <v>76.7</v>
      </c>
    </row>
    <row r="58">
      <c r="A58" t="n">
        <v>1057</v>
      </c>
      <c r="B58" s="11" t="n">
        <v>46075</v>
      </c>
      <c r="C58" t="inlineStr">
        <is>
          <t>USB Drive</t>
        </is>
      </c>
      <c r="D58" t="inlineStr">
        <is>
          <t>Accessories</t>
        </is>
      </c>
      <c r="E58" t="inlineStr">
        <is>
          <t>East</t>
        </is>
      </c>
      <c r="F58" t="n">
        <v>5</v>
      </c>
      <c r="G58" t="n">
        <v>700</v>
      </c>
      <c r="H58" t="n">
        <v>3500</v>
      </c>
      <c r="I58" t="n">
        <v>678.49</v>
      </c>
    </row>
    <row r="59">
      <c r="A59" t="n">
        <v>1058</v>
      </c>
      <c r="B59" s="11" t="n">
        <v>46124</v>
      </c>
      <c r="C59" t="inlineStr">
        <is>
          <t>Keyboard</t>
        </is>
      </c>
      <c r="D59" t="inlineStr">
        <is>
          <t>Electronics</t>
        </is>
      </c>
      <c r="E59" t="inlineStr">
        <is>
          <t>East</t>
        </is>
      </c>
      <c r="F59" t="n">
        <v>5</v>
      </c>
      <c r="G59" t="n">
        <v>1500</v>
      </c>
      <c r="H59" t="n">
        <v>7500</v>
      </c>
      <c r="I59" t="n">
        <v>766.87</v>
      </c>
    </row>
    <row r="60">
      <c r="A60" t="n">
        <v>1059</v>
      </c>
      <c r="B60" s="11" t="n">
        <v>46041</v>
      </c>
      <c r="C60" t="inlineStr">
        <is>
          <t>Bookshelf</t>
        </is>
      </c>
      <c r="D60" t="inlineStr">
        <is>
          <t>Furniture</t>
        </is>
      </c>
      <c r="E60" t="inlineStr">
        <is>
          <t>North</t>
        </is>
      </c>
      <c r="F60" t="n">
        <v>6</v>
      </c>
      <c r="G60" t="n">
        <v>6000</v>
      </c>
      <c r="H60" t="n">
        <v>36000</v>
      </c>
      <c r="I60" t="n">
        <v>2937.01</v>
      </c>
    </row>
    <row r="61">
      <c r="A61" t="n">
        <v>1060</v>
      </c>
      <c r="B61" s="11" t="n">
        <v>46152</v>
      </c>
      <c r="C61" t="inlineStr">
        <is>
          <t>Mobile</t>
        </is>
      </c>
      <c r="D61" t="inlineStr">
        <is>
          <t>Electronics</t>
        </is>
      </c>
      <c r="E61" t="inlineStr">
        <is>
          <t>East</t>
        </is>
      </c>
      <c r="F61" t="n">
        <v>4</v>
      </c>
      <c r="G61" t="n">
        <v>20000</v>
      </c>
      <c r="H61" t="n">
        <v>80000</v>
      </c>
      <c r="I61" t="n">
        <v>10006.73</v>
      </c>
    </row>
    <row r="62">
      <c r="A62" t="n">
        <v>1061</v>
      </c>
      <c r="B62" s="11" t="n">
        <v>46085</v>
      </c>
      <c r="C62" t="inlineStr">
        <is>
          <t>USB Drive</t>
        </is>
      </c>
      <c r="D62" t="inlineStr">
        <is>
          <t>Accessories</t>
        </is>
      </c>
      <c r="E62" t="inlineStr">
        <is>
          <t>South</t>
        </is>
      </c>
      <c r="F62" t="n">
        <v>2</v>
      </c>
      <c r="G62" t="n">
        <v>700</v>
      </c>
      <c r="H62" t="n">
        <v>1400</v>
      </c>
      <c r="I62" t="n">
        <v>199.95</v>
      </c>
    </row>
    <row r="63">
      <c r="A63" t="n">
        <v>1062</v>
      </c>
      <c r="B63" s="11" t="n">
        <v>46179</v>
      </c>
      <c r="C63" t="inlineStr">
        <is>
          <t>Bookshelf</t>
        </is>
      </c>
      <c r="D63" t="inlineStr">
        <is>
          <t>Furniture</t>
        </is>
      </c>
      <c r="E63" t="inlineStr">
        <is>
          <t>North</t>
        </is>
      </c>
      <c r="F63" t="n">
        <v>5</v>
      </c>
      <c r="G63" t="n">
        <v>6000</v>
      </c>
      <c r="H63" t="n">
        <v>30000</v>
      </c>
      <c r="I63" t="n">
        <v>7417.65</v>
      </c>
    </row>
    <row r="64">
      <c r="A64" t="n">
        <v>1063</v>
      </c>
      <c r="B64" s="11" t="n">
        <v>46192</v>
      </c>
      <c r="C64" t="inlineStr">
        <is>
          <t>Printer</t>
        </is>
      </c>
      <c r="D64" t="inlineStr">
        <is>
          <t>Electronics</t>
        </is>
      </c>
      <c r="E64" t="inlineStr">
        <is>
          <t>South</t>
        </is>
      </c>
      <c r="F64" t="n">
        <v>5</v>
      </c>
      <c r="G64" t="n">
        <v>15000</v>
      </c>
      <c r="H64" t="n">
        <v>75000</v>
      </c>
      <c r="I64" t="n">
        <v>7320.73</v>
      </c>
    </row>
    <row r="65">
      <c r="A65" t="n">
        <v>1064</v>
      </c>
      <c r="B65" s="11" t="n">
        <v>46050</v>
      </c>
      <c r="C65" t="inlineStr">
        <is>
          <t>Monitor</t>
        </is>
      </c>
      <c r="D65" t="inlineStr">
        <is>
          <t>Electronics</t>
        </is>
      </c>
      <c r="E65" t="inlineStr">
        <is>
          <t>South</t>
        </is>
      </c>
      <c r="F65" t="n">
        <v>2</v>
      </c>
      <c r="G65" t="n">
        <v>12000</v>
      </c>
      <c r="H65" t="n">
        <v>24000</v>
      </c>
      <c r="I65" t="n">
        <v>4949.06</v>
      </c>
    </row>
    <row r="66">
      <c r="A66" t="n">
        <v>1065</v>
      </c>
      <c r="B66" s="11" t="n">
        <v>46177</v>
      </c>
      <c r="C66" t="inlineStr">
        <is>
          <t>Monitor</t>
        </is>
      </c>
      <c r="D66" t="inlineStr">
        <is>
          <t>Electronics</t>
        </is>
      </c>
      <c r="E66" t="inlineStr">
        <is>
          <t>East</t>
        </is>
      </c>
      <c r="F66" t="n">
        <v>5</v>
      </c>
      <c r="G66" t="n">
        <v>12000</v>
      </c>
      <c r="H66" t="n">
        <v>60000</v>
      </c>
      <c r="I66" t="n">
        <v>6948.42</v>
      </c>
    </row>
    <row r="67">
      <c r="A67" t="n">
        <v>1066</v>
      </c>
      <c r="B67" s="11" t="n">
        <v>46152</v>
      </c>
      <c r="C67" t="inlineStr">
        <is>
          <t>Keyboard</t>
        </is>
      </c>
      <c r="D67" t="inlineStr">
        <is>
          <t>Electronics</t>
        </is>
      </c>
      <c r="E67" t="inlineStr">
        <is>
          <t>North</t>
        </is>
      </c>
      <c r="F67" t="n">
        <v>5</v>
      </c>
      <c r="G67" t="n">
        <v>1500</v>
      </c>
      <c r="H67" t="n">
        <v>7500</v>
      </c>
      <c r="I67" t="n">
        <v>1222.88</v>
      </c>
    </row>
    <row r="68">
      <c r="A68" t="n">
        <v>1067</v>
      </c>
      <c r="B68" s="11" t="n">
        <v>46093</v>
      </c>
      <c r="C68" t="inlineStr">
        <is>
          <t>Mobile</t>
        </is>
      </c>
      <c r="D68" t="inlineStr">
        <is>
          <t>Electronics</t>
        </is>
      </c>
      <c r="E68" t="inlineStr">
        <is>
          <t>East</t>
        </is>
      </c>
      <c r="F68" t="n">
        <v>7</v>
      </c>
      <c r="G68" t="n">
        <v>20000</v>
      </c>
      <c r="H68" t="n">
        <v>140000</v>
      </c>
      <c r="I68" t="n">
        <v>12249.26</v>
      </c>
    </row>
    <row r="69">
      <c r="A69" t="n">
        <v>1068</v>
      </c>
      <c r="B69" s="11" t="n">
        <v>46186</v>
      </c>
      <c r="C69" t="inlineStr">
        <is>
          <t>Backpack</t>
        </is>
      </c>
      <c r="D69" t="inlineStr">
        <is>
          <t>Accessories</t>
        </is>
      </c>
      <c r="E69" t="inlineStr">
        <is>
          <t>South</t>
        </is>
      </c>
      <c r="F69" t="n">
        <v>3</v>
      </c>
      <c r="G69" t="n">
        <v>1800</v>
      </c>
      <c r="H69" t="n">
        <v>5400</v>
      </c>
      <c r="I69" t="n">
        <v>1331.45</v>
      </c>
    </row>
    <row r="70">
      <c r="A70" t="n">
        <v>1069</v>
      </c>
      <c r="B70" s="11" t="n">
        <v>46164</v>
      </c>
      <c r="C70" t="inlineStr">
        <is>
          <t>Tablet</t>
        </is>
      </c>
      <c r="D70" t="inlineStr">
        <is>
          <t>Electronics</t>
        </is>
      </c>
      <c r="E70" t="inlineStr">
        <is>
          <t>North</t>
        </is>
      </c>
      <c r="F70" t="n">
        <v>8</v>
      </c>
      <c r="G70" t="n">
        <v>25000</v>
      </c>
      <c r="H70" t="n">
        <v>200000</v>
      </c>
      <c r="I70" t="n">
        <v>39992.69</v>
      </c>
    </row>
    <row r="71">
      <c r="A71" t="n">
        <v>1070</v>
      </c>
      <c r="B71" s="11" t="n">
        <v>46199</v>
      </c>
      <c r="C71" t="inlineStr">
        <is>
          <t>Mobile</t>
        </is>
      </c>
      <c r="D71" t="inlineStr">
        <is>
          <t>Electronics</t>
        </is>
      </c>
      <c r="E71" t="inlineStr">
        <is>
          <t>North</t>
        </is>
      </c>
      <c r="F71" t="n">
        <v>2</v>
      </c>
      <c r="G71" t="n">
        <v>20000</v>
      </c>
      <c r="H71" t="n">
        <v>40000</v>
      </c>
      <c r="I71" t="n">
        <v>9346.709999999999</v>
      </c>
    </row>
    <row r="72">
      <c r="A72" t="n">
        <v>1071</v>
      </c>
      <c r="B72" s="11" t="n">
        <v>46172</v>
      </c>
      <c r="C72" t="inlineStr">
        <is>
          <t>Mouse</t>
        </is>
      </c>
      <c r="D72" t="inlineStr">
        <is>
          <t>Electronics</t>
        </is>
      </c>
      <c r="E72" t="inlineStr">
        <is>
          <t>West</t>
        </is>
      </c>
      <c r="F72" t="n">
        <v>6</v>
      </c>
      <c r="G72" t="n">
        <v>800</v>
      </c>
      <c r="H72" t="n">
        <v>4800</v>
      </c>
      <c r="I72" t="n">
        <v>834.86</v>
      </c>
    </row>
    <row r="73">
      <c r="A73" t="n">
        <v>1072</v>
      </c>
      <c r="B73" s="11" t="n">
        <v>46101</v>
      </c>
      <c r="C73" t="inlineStr">
        <is>
          <t>Headphones</t>
        </is>
      </c>
      <c r="D73" t="inlineStr">
        <is>
          <t>Electronics</t>
        </is>
      </c>
      <c r="E73" t="inlineStr">
        <is>
          <t>North</t>
        </is>
      </c>
      <c r="F73" t="n">
        <v>1</v>
      </c>
      <c r="G73" t="n">
        <v>2500</v>
      </c>
      <c r="H73" t="n">
        <v>2500</v>
      </c>
      <c r="I73" t="n">
        <v>354.98</v>
      </c>
    </row>
    <row r="74">
      <c r="A74" t="n">
        <v>1073</v>
      </c>
      <c r="B74" s="11" t="n">
        <v>46076</v>
      </c>
      <c r="C74" t="inlineStr">
        <is>
          <t>USB Drive</t>
        </is>
      </c>
      <c r="D74" t="inlineStr">
        <is>
          <t>Accessories</t>
        </is>
      </c>
      <c r="E74" t="inlineStr">
        <is>
          <t>North</t>
        </is>
      </c>
      <c r="F74" t="n">
        <v>6</v>
      </c>
      <c r="G74" t="n">
        <v>700</v>
      </c>
      <c r="H74" t="n">
        <v>4200</v>
      </c>
      <c r="I74" t="n">
        <v>823</v>
      </c>
    </row>
    <row r="75">
      <c r="A75" t="n">
        <v>1074</v>
      </c>
      <c r="B75" s="11" t="n">
        <v>46181</v>
      </c>
      <c r="C75" t="inlineStr">
        <is>
          <t>Office Chair</t>
        </is>
      </c>
      <c r="D75" t="inlineStr">
        <is>
          <t>Furniture</t>
        </is>
      </c>
      <c r="E75" t="inlineStr">
        <is>
          <t>South</t>
        </is>
      </c>
      <c r="F75" t="n">
        <v>7</v>
      </c>
      <c r="G75" t="n">
        <v>7000</v>
      </c>
      <c r="H75" t="n">
        <v>49000</v>
      </c>
      <c r="I75" t="n">
        <v>10163.15</v>
      </c>
    </row>
    <row r="76">
      <c r="A76" t="n">
        <v>1075</v>
      </c>
      <c r="B76" s="11" t="n">
        <v>46068</v>
      </c>
      <c r="C76" t="inlineStr">
        <is>
          <t>Mouse</t>
        </is>
      </c>
      <c r="D76" t="inlineStr">
        <is>
          <t>Electronics</t>
        </is>
      </c>
      <c r="E76" t="inlineStr">
        <is>
          <t>North</t>
        </is>
      </c>
      <c r="F76" t="n">
        <v>3</v>
      </c>
      <c r="G76" t="n">
        <v>800</v>
      </c>
      <c r="H76" t="n">
        <v>2400</v>
      </c>
      <c r="I76" t="n">
        <v>551.62</v>
      </c>
    </row>
    <row r="77">
      <c r="A77" t="n">
        <v>1076</v>
      </c>
      <c r="B77" s="11" t="n">
        <v>46128</v>
      </c>
      <c r="C77" t="inlineStr">
        <is>
          <t>Headphones</t>
        </is>
      </c>
      <c r="D77" t="inlineStr">
        <is>
          <t>Electronics</t>
        </is>
      </c>
      <c r="E77" t="inlineStr">
        <is>
          <t>South</t>
        </is>
      </c>
      <c r="F77" t="n">
        <v>6</v>
      </c>
      <c r="G77" t="n">
        <v>2500</v>
      </c>
      <c r="H77" t="n">
        <v>15000</v>
      </c>
      <c r="I77" t="n">
        <v>3245.7</v>
      </c>
    </row>
    <row r="78">
      <c r="A78" t="n">
        <v>1077</v>
      </c>
      <c r="B78" s="11" t="n">
        <v>46202</v>
      </c>
      <c r="C78" t="inlineStr">
        <is>
          <t>Monitor</t>
        </is>
      </c>
      <c r="D78" t="inlineStr">
        <is>
          <t>Electronics</t>
        </is>
      </c>
      <c r="E78" t="inlineStr">
        <is>
          <t>North</t>
        </is>
      </c>
      <c r="F78" t="n">
        <v>3</v>
      </c>
      <c r="G78" t="n">
        <v>12000</v>
      </c>
      <c r="H78" t="n">
        <v>36000</v>
      </c>
      <c r="I78" t="n">
        <v>3541.55</v>
      </c>
    </row>
    <row r="79">
      <c r="A79" t="n">
        <v>1078</v>
      </c>
      <c r="B79" s="11" t="n">
        <v>46079</v>
      </c>
      <c r="C79" t="inlineStr">
        <is>
          <t>Mouse</t>
        </is>
      </c>
      <c r="D79" t="inlineStr">
        <is>
          <t>Electronics</t>
        </is>
      </c>
      <c r="E79" t="inlineStr">
        <is>
          <t>West</t>
        </is>
      </c>
      <c r="F79" t="n">
        <v>8</v>
      </c>
      <c r="G79" t="n">
        <v>800</v>
      </c>
      <c r="H79" t="n">
        <v>6400</v>
      </c>
      <c r="I79" t="n">
        <v>729.14</v>
      </c>
    </row>
    <row r="80">
      <c r="A80" t="n">
        <v>1079</v>
      </c>
      <c r="B80" s="11" t="n">
        <v>46081</v>
      </c>
      <c r="C80" t="inlineStr">
        <is>
          <t>Office Chair</t>
        </is>
      </c>
      <c r="D80" t="inlineStr">
        <is>
          <t>Furniture</t>
        </is>
      </c>
      <c r="E80" t="inlineStr">
        <is>
          <t>South</t>
        </is>
      </c>
      <c r="F80" t="n">
        <v>5</v>
      </c>
      <c r="G80" t="n">
        <v>7000</v>
      </c>
      <c r="H80" t="n">
        <v>35000</v>
      </c>
      <c r="I80" t="n">
        <v>4126.4</v>
      </c>
    </row>
    <row r="81">
      <c r="A81" t="n">
        <v>1080</v>
      </c>
      <c r="B81" s="11" t="n">
        <v>46094</v>
      </c>
      <c r="C81" t="inlineStr">
        <is>
          <t>Desk</t>
        </is>
      </c>
      <c r="D81" t="inlineStr">
        <is>
          <t>Furniture</t>
        </is>
      </c>
      <c r="E81" t="inlineStr">
        <is>
          <t>East</t>
        </is>
      </c>
      <c r="F81" t="n">
        <v>6</v>
      </c>
      <c r="G81" t="n">
        <v>9000</v>
      </c>
      <c r="H81" t="n">
        <v>54000</v>
      </c>
      <c r="I81" t="n">
        <v>12254.76</v>
      </c>
    </row>
    <row r="82">
      <c r="A82" t="n">
        <v>1081</v>
      </c>
      <c r="B82" s="11" t="n">
        <v>46196</v>
      </c>
      <c r="C82" t="inlineStr">
        <is>
          <t>Office Chair</t>
        </is>
      </c>
      <c r="D82" t="inlineStr">
        <is>
          <t>Furniture</t>
        </is>
      </c>
      <c r="E82" t="inlineStr">
        <is>
          <t>East</t>
        </is>
      </c>
      <c r="F82" t="n">
        <v>7</v>
      </c>
      <c r="G82" t="n">
        <v>7000</v>
      </c>
      <c r="H82" t="n">
        <v>49000</v>
      </c>
      <c r="I82" t="n">
        <v>12092.98</v>
      </c>
    </row>
    <row r="83">
      <c r="A83" t="n">
        <v>1082</v>
      </c>
      <c r="B83" s="11" t="n">
        <v>46089</v>
      </c>
      <c r="C83" t="inlineStr">
        <is>
          <t>Laptop</t>
        </is>
      </c>
      <c r="D83" t="inlineStr">
        <is>
          <t>Electronics</t>
        </is>
      </c>
      <c r="E83" t="inlineStr">
        <is>
          <t>East</t>
        </is>
      </c>
      <c r="F83" t="n">
        <v>2</v>
      </c>
      <c r="G83" t="n">
        <v>45000</v>
      </c>
      <c r="H83" t="n">
        <v>90000</v>
      </c>
      <c r="I83" t="n">
        <v>9932.09</v>
      </c>
    </row>
    <row r="84">
      <c r="A84" t="n">
        <v>1083</v>
      </c>
      <c r="B84" s="11" t="n">
        <v>46175</v>
      </c>
      <c r="C84" t="inlineStr">
        <is>
          <t>Laptop</t>
        </is>
      </c>
      <c r="D84" t="inlineStr">
        <is>
          <t>Electronics</t>
        </is>
      </c>
      <c r="E84" t="inlineStr">
        <is>
          <t>East</t>
        </is>
      </c>
      <c r="F84" t="n">
        <v>2</v>
      </c>
      <c r="G84" t="n">
        <v>45000</v>
      </c>
      <c r="H84" t="n">
        <v>90000</v>
      </c>
      <c r="I84" t="n">
        <v>13848.83</v>
      </c>
    </row>
    <row r="85">
      <c r="A85" t="n">
        <v>1084</v>
      </c>
      <c r="B85" s="11" t="n">
        <v>46121</v>
      </c>
      <c r="C85" t="inlineStr">
        <is>
          <t>Desk</t>
        </is>
      </c>
      <c r="D85" t="inlineStr">
        <is>
          <t>Furniture</t>
        </is>
      </c>
      <c r="E85" t="inlineStr">
        <is>
          <t>South</t>
        </is>
      </c>
      <c r="F85" t="n">
        <v>2</v>
      </c>
      <c r="G85" t="n">
        <v>9000</v>
      </c>
      <c r="H85" t="n">
        <v>18000</v>
      </c>
      <c r="I85" t="n">
        <v>4192.48</v>
      </c>
    </row>
    <row r="86">
      <c r="A86" t="n">
        <v>1085</v>
      </c>
      <c r="B86" s="11" t="n">
        <v>46134</v>
      </c>
      <c r="C86" t="inlineStr">
        <is>
          <t>Monitor</t>
        </is>
      </c>
      <c r="D86" t="inlineStr">
        <is>
          <t>Electronics</t>
        </is>
      </c>
      <c r="E86" t="inlineStr">
        <is>
          <t>South</t>
        </is>
      </c>
      <c r="F86" t="n">
        <v>1</v>
      </c>
      <c r="G86" t="n">
        <v>12000</v>
      </c>
      <c r="H86" t="n">
        <v>12000</v>
      </c>
      <c r="I86" t="n">
        <v>963.45</v>
      </c>
    </row>
    <row r="87">
      <c r="A87" t="n">
        <v>1086</v>
      </c>
      <c r="B87" s="11" t="n">
        <v>46040</v>
      </c>
      <c r="C87" t="inlineStr">
        <is>
          <t>Office Chair</t>
        </is>
      </c>
      <c r="D87" t="inlineStr">
        <is>
          <t>Furniture</t>
        </is>
      </c>
      <c r="E87" t="inlineStr">
        <is>
          <t>East</t>
        </is>
      </c>
      <c r="F87" t="n">
        <v>7</v>
      </c>
      <c r="G87" t="n">
        <v>7000</v>
      </c>
      <c r="H87" t="n">
        <v>49000</v>
      </c>
      <c r="I87" t="n">
        <v>11824.12</v>
      </c>
    </row>
    <row r="88">
      <c r="A88" t="n">
        <v>1087</v>
      </c>
      <c r="B88" s="11" t="n">
        <v>46192</v>
      </c>
      <c r="C88" t="inlineStr">
        <is>
          <t>Pen Set</t>
        </is>
      </c>
      <c r="D88" t="inlineStr">
        <is>
          <t>Stationery</t>
        </is>
      </c>
      <c r="E88" t="inlineStr">
        <is>
          <t>East</t>
        </is>
      </c>
      <c r="F88" t="n">
        <v>6</v>
      </c>
      <c r="G88" t="n">
        <v>200</v>
      </c>
      <c r="H88" t="n">
        <v>1200</v>
      </c>
      <c r="I88" t="n">
        <v>269</v>
      </c>
    </row>
    <row r="89">
      <c r="A89" t="n">
        <v>1088</v>
      </c>
      <c r="B89" s="11" t="n">
        <v>46193</v>
      </c>
      <c r="C89" t="inlineStr">
        <is>
          <t>Notebook</t>
        </is>
      </c>
      <c r="D89" t="inlineStr">
        <is>
          <t>Stationery</t>
        </is>
      </c>
      <c r="E89" t="inlineStr">
        <is>
          <t>West</t>
        </is>
      </c>
      <c r="F89" t="n">
        <v>5</v>
      </c>
      <c r="G89" t="n">
        <v>100</v>
      </c>
      <c r="H89" t="n">
        <v>500</v>
      </c>
      <c r="I89" t="n">
        <v>74.70999999999999</v>
      </c>
    </row>
    <row r="90">
      <c r="A90" t="n">
        <v>1089</v>
      </c>
      <c r="B90" s="11" t="n">
        <v>46164</v>
      </c>
      <c r="C90" t="inlineStr">
        <is>
          <t>Tablet</t>
        </is>
      </c>
      <c r="D90" t="inlineStr">
        <is>
          <t>Electronics</t>
        </is>
      </c>
      <c r="E90" t="inlineStr">
        <is>
          <t>West</t>
        </is>
      </c>
      <c r="F90" t="n">
        <v>5</v>
      </c>
      <c r="G90" t="n">
        <v>25000</v>
      </c>
      <c r="H90" t="n">
        <v>125000</v>
      </c>
      <c r="I90" t="n">
        <v>12704.87</v>
      </c>
    </row>
    <row r="91">
      <c r="A91" t="n">
        <v>1090</v>
      </c>
      <c r="B91" s="11" t="n">
        <v>46196</v>
      </c>
      <c r="C91" t="inlineStr">
        <is>
          <t>Printer</t>
        </is>
      </c>
      <c r="D91" t="inlineStr">
        <is>
          <t>Electronics</t>
        </is>
      </c>
      <c r="E91" t="inlineStr">
        <is>
          <t>South</t>
        </is>
      </c>
      <c r="F91" t="n">
        <v>7</v>
      </c>
      <c r="G91" t="n">
        <v>15000</v>
      </c>
      <c r="H91" t="n">
        <v>105000</v>
      </c>
      <c r="I91" t="n">
        <v>21754.2</v>
      </c>
    </row>
    <row r="92">
      <c r="A92" t="n">
        <v>1091</v>
      </c>
      <c r="B92" s="11" t="n">
        <v>46126</v>
      </c>
      <c r="C92" t="inlineStr">
        <is>
          <t>Pen Set</t>
        </is>
      </c>
      <c r="D92" t="inlineStr">
        <is>
          <t>Stationery</t>
        </is>
      </c>
      <c r="E92" t="inlineStr">
        <is>
          <t>North</t>
        </is>
      </c>
      <c r="F92" t="n">
        <v>5</v>
      </c>
      <c r="G92" t="n">
        <v>200</v>
      </c>
      <c r="H92" t="n">
        <v>1000</v>
      </c>
      <c r="I92" t="n">
        <v>173.15</v>
      </c>
    </row>
    <row r="93">
      <c r="A93" t="n">
        <v>1092</v>
      </c>
      <c r="B93" s="11" t="n">
        <v>46076</v>
      </c>
      <c r="C93" t="inlineStr">
        <is>
          <t>Monitor</t>
        </is>
      </c>
      <c r="D93" t="inlineStr">
        <is>
          <t>Electronics</t>
        </is>
      </c>
      <c r="E93" t="inlineStr">
        <is>
          <t>East</t>
        </is>
      </c>
      <c r="F93" t="n">
        <v>5</v>
      </c>
      <c r="G93" t="n">
        <v>12000</v>
      </c>
      <c r="H93" t="n">
        <v>60000</v>
      </c>
      <c r="I93" t="n">
        <v>9184.860000000001</v>
      </c>
    </row>
    <row r="94">
      <c r="A94" t="n">
        <v>1093</v>
      </c>
      <c r="B94" s="11" t="n">
        <v>46136</v>
      </c>
      <c r="C94" t="inlineStr">
        <is>
          <t>Bookshelf</t>
        </is>
      </c>
      <c r="D94" t="inlineStr">
        <is>
          <t>Furniture</t>
        </is>
      </c>
      <c r="E94" t="inlineStr">
        <is>
          <t>West</t>
        </is>
      </c>
      <c r="F94" t="n">
        <v>8</v>
      </c>
      <c r="G94" t="n">
        <v>6000</v>
      </c>
      <c r="H94" t="n">
        <v>48000</v>
      </c>
      <c r="I94" t="n">
        <v>9353.120000000001</v>
      </c>
    </row>
    <row r="95">
      <c r="A95" t="n">
        <v>1094</v>
      </c>
      <c r="B95" s="11" t="n">
        <v>46191</v>
      </c>
      <c r="C95" t="inlineStr">
        <is>
          <t>Backpack</t>
        </is>
      </c>
      <c r="D95" t="inlineStr">
        <is>
          <t>Accessories</t>
        </is>
      </c>
      <c r="E95" t="inlineStr">
        <is>
          <t>East</t>
        </is>
      </c>
      <c r="F95" t="n">
        <v>3</v>
      </c>
      <c r="G95" t="n">
        <v>1800</v>
      </c>
      <c r="H95" t="n">
        <v>5400</v>
      </c>
      <c r="I95" t="n">
        <v>509.84</v>
      </c>
    </row>
    <row r="96">
      <c r="A96" t="n">
        <v>1095</v>
      </c>
      <c r="B96" s="11" t="n">
        <v>46195</v>
      </c>
      <c r="C96" t="inlineStr">
        <is>
          <t>Mobile</t>
        </is>
      </c>
      <c r="D96" t="inlineStr">
        <is>
          <t>Electronics</t>
        </is>
      </c>
      <c r="E96" t="inlineStr">
        <is>
          <t>South</t>
        </is>
      </c>
      <c r="F96" t="n">
        <v>4</v>
      </c>
      <c r="G96" t="n">
        <v>20000</v>
      </c>
      <c r="H96" t="n">
        <v>80000</v>
      </c>
      <c r="I96" t="n">
        <v>10621.7</v>
      </c>
    </row>
    <row r="97">
      <c r="A97" t="n">
        <v>1096</v>
      </c>
      <c r="B97" s="11" t="n">
        <v>46034</v>
      </c>
      <c r="C97" t="inlineStr">
        <is>
          <t>Headphones</t>
        </is>
      </c>
      <c r="D97" t="inlineStr">
        <is>
          <t>Electronics</t>
        </is>
      </c>
      <c r="E97" t="inlineStr">
        <is>
          <t>West</t>
        </is>
      </c>
      <c r="F97" t="n">
        <v>1</v>
      </c>
      <c r="G97" t="n">
        <v>2500</v>
      </c>
      <c r="H97" t="n">
        <v>2500</v>
      </c>
      <c r="I97" t="n">
        <v>304.06</v>
      </c>
    </row>
    <row r="98">
      <c r="A98" t="n">
        <v>1097</v>
      </c>
      <c r="B98" s="11" t="n">
        <v>46139</v>
      </c>
      <c r="C98" t="inlineStr">
        <is>
          <t>Pen Set</t>
        </is>
      </c>
      <c r="D98" t="inlineStr">
        <is>
          <t>Stationery</t>
        </is>
      </c>
      <c r="E98" t="inlineStr">
        <is>
          <t>South</t>
        </is>
      </c>
      <c r="F98" t="n">
        <v>2</v>
      </c>
      <c r="G98" t="n">
        <v>200</v>
      </c>
      <c r="H98" t="n">
        <v>400</v>
      </c>
      <c r="I98" t="n">
        <v>60.18</v>
      </c>
    </row>
    <row r="99">
      <c r="A99" t="n">
        <v>1098</v>
      </c>
      <c r="B99" s="11" t="n">
        <v>46149</v>
      </c>
      <c r="C99" t="inlineStr">
        <is>
          <t>Tablet</t>
        </is>
      </c>
      <c r="D99" t="inlineStr">
        <is>
          <t>Electronics</t>
        </is>
      </c>
      <c r="E99" t="inlineStr">
        <is>
          <t>South</t>
        </is>
      </c>
      <c r="F99" t="n">
        <v>7</v>
      </c>
      <c r="G99" t="n">
        <v>25000</v>
      </c>
      <c r="H99" t="n">
        <v>175000</v>
      </c>
      <c r="I99" t="n">
        <v>25889.67</v>
      </c>
    </row>
    <row r="100">
      <c r="A100" t="n">
        <v>1099</v>
      </c>
      <c r="B100" s="11" t="n">
        <v>46050</v>
      </c>
      <c r="C100" t="inlineStr">
        <is>
          <t>Printer</t>
        </is>
      </c>
      <c r="D100" t="inlineStr">
        <is>
          <t>Electronics</t>
        </is>
      </c>
      <c r="E100" t="inlineStr">
        <is>
          <t>South</t>
        </is>
      </c>
      <c r="F100" t="n">
        <v>1</v>
      </c>
      <c r="G100" t="n">
        <v>15000</v>
      </c>
      <c r="H100" t="n">
        <v>15000</v>
      </c>
      <c r="I100" t="n">
        <v>3184.97</v>
      </c>
    </row>
    <row r="101">
      <c r="A101" t="n">
        <v>1100</v>
      </c>
      <c r="B101" s="11" t="n">
        <v>46035</v>
      </c>
      <c r="C101" t="inlineStr">
        <is>
          <t>Headphones</t>
        </is>
      </c>
      <c r="D101" t="inlineStr">
        <is>
          <t>Electronics</t>
        </is>
      </c>
      <c r="E101" t="inlineStr">
        <is>
          <t>North</t>
        </is>
      </c>
      <c r="F101" t="n">
        <v>8</v>
      </c>
      <c r="G101" t="n">
        <v>2500</v>
      </c>
      <c r="H101" t="n">
        <v>20000</v>
      </c>
      <c r="I101" t="n">
        <v>3495.18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</cols>
  <sheetData>
    <row r="1">
      <c r="A1" s="10" t="inlineStr">
        <is>
          <t>Month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Orders</t>
        </is>
      </c>
    </row>
    <row r="2">
      <c r="A2" t="inlineStr">
        <is>
          <t>Jan 2026</t>
        </is>
      </c>
      <c r="B2" s="12">
        <f>SUMIFS('Raw Data'!$H$2:$H$101,'Raw Data'!$B$2:$B$101,"&gt;="&amp;DATE(YEAR(A2),MONTH(DATEVALUE("1-"&amp;A2)),1),'Raw Data'!$B$2:$B$101,"&lt;"&amp;EDATE(DATE(YEAR(A2),MONTH(DATEVALUE("1-"&amp;A2)),1),1))</f>
        <v/>
      </c>
      <c r="C2" s="12">
        <f>SUMIFS('Raw Data'!$I$2:$I$101,'Raw Data'!$B$2:$B$101,"&gt;="&amp;DATE(YEAR(A2),MONTH(DATEVALUE("1-"&amp;A2)),1),'Raw Data'!$B$2:$B$101,"&lt;"&amp;EDATE(DATE(YEAR(A2),MONTH(DATEVALUE("1-"&amp;A2)),1),1))</f>
        <v/>
      </c>
      <c r="D2" s="13">
        <f>COUNTIFS('Raw Data'!$B$2:$B$101,"&gt;="&amp;DATE(YEAR(A2),MONTH(DATEVALUE("1-"&amp;A2)),1),'Raw Data'!$B$2:$B$101,"&lt;"&amp;EDATE(DATE(YEAR(A2),MONTH(DATEVALUE("1-"&amp;A2)),1),1))</f>
        <v/>
      </c>
    </row>
    <row r="3">
      <c r="A3" t="inlineStr">
        <is>
          <t>Feb 2026</t>
        </is>
      </c>
      <c r="B3" s="12">
        <f>SUMIFS('Raw Data'!$H$2:$H$101,'Raw Data'!$B$2:$B$101,"&gt;="&amp;DATE(YEAR(A3),MONTH(DATEVALUE("1-"&amp;A3)),1),'Raw Data'!$B$2:$B$101,"&lt;"&amp;EDATE(DATE(YEAR(A3),MONTH(DATEVALUE("1-"&amp;A3)),1),1))</f>
        <v/>
      </c>
      <c r="C3" s="12">
        <f>SUMIFS('Raw Data'!$I$2:$I$101,'Raw Data'!$B$2:$B$101,"&gt;="&amp;DATE(YEAR(A3),MONTH(DATEVALUE("1-"&amp;A3)),1),'Raw Data'!$B$2:$B$101,"&lt;"&amp;EDATE(DATE(YEAR(A3),MONTH(DATEVALUE("1-"&amp;A3)),1),1))</f>
        <v/>
      </c>
      <c r="D3" s="13">
        <f>COUNTIFS('Raw Data'!$B$2:$B$101,"&gt;="&amp;DATE(YEAR(A3),MONTH(DATEVALUE("1-"&amp;A3)),1),'Raw Data'!$B$2:$B$101,"&lt;"&amp;EDATE(DATE(YEAR(A3),MONTH(DATEVALUE("1-"&amp;A3)),1),1))</f>
        <v/>
      </c>
    </row>
    <row r="4">
      <c r="A4" t="inlineStr">
        <is>
          <t>Mar 2026</t>
        </is>
      </c>
      <c r="B4" s="12">
        <f>SUMIFS('Raw Data'!$H$2:$H$101,'Raw Data'!$B$2:$B$101,"&gt;="&amp;DATE(YEAR(A4),MONTH(DATEVALUE("1-"&amp;A4)),1),'Raw Data'!$B$2:$B$101,"&lt;"&amp;EDATE(DATE(YEAR(A4),MONTH(DATEVALUE("1-"&amp;A4)),1),1))</f>
        <v/>
      </c>
      <c r="C4" s="12">
        <f>SUMIFS('Raw Data'!$I$2:$I$101,'Raw Data'!$B$2:$B$101,"&gt;="&amp;DATE(YEAR(A4),MONTH(DATEVALUE("1-"&amp;A4)),1),'Raw Data'!$B$2:$B$101,"&lt;"&amp;EDATE(DATE(YEAR(A4),MONTH(DATEVALUE("1-"&amp;A4)),1),1))</f>
        <v/>
      </c>
      <c r="D4" s="13">
        <f>COUNTIFS('Raw Data'!$B$2:$B$101,"&gt;="&amp;DATE(YEAR(A4),MONTH(DATEVALUE("1-"&amp;A4)),1),'Raw Data'!$B$2:$B$101,"&lt;"&amp;EDATE(DATE(YEAR(A4),MONTH(DATEVALUE("1-"&amp;A4)),1),1))</f>
        <v/>
      </c>
    </row>
    <row r="5">
      <c r="A5" t="inlineStr">
        <is>
          <t>Apr 2026</t>
        </is>
      </c>
      <c r="B5" s="12">
        <f>SUMIFS('Raw Data'!$H$2:$H$101,'Raw Data'!$B$2:$B$101,"&gt;="&amp;DATE(YEAR(A5),MONTH(DATEVALUE("1-"&amp;A5)),1),'Raw Data'!$B$2:$B$101,"&lt;"&amp;EDATE(DATE(YEAR(A5),MONTH(DATEVALUE("1-"&amp;A5)),1),1))</f>
        <v/>
      </c>
      <c r="C5" s="12">
        <f>SUMIFS('Raw Data'!$I$2:$I$101,'Raw Data'!$B$2:$B$101,"&gt;="&amp;DATE(YEAR(A5),MONTH(DATEVALUE("1-"&amp;A5)),1),'Raw Data'!$B$2:$B$101,"&lt;"&amp;EDATE(DATE(YEAR(A5),MONTH(DATEVALUE("1-"&amp;A5)),1),1))</f>
        <v/>
      </c>
      <c r="D5" s="13">
        <f>COUNTIFS('Raw Data'!$B$2:$B$101,"&gt;="&amp;DATE(YEAR(A5),MONTH(DATEVALUE("1-"&amp;A5)),1),'Raw Data'!$B$2:$B$101,"&lt;"&amp;EDATE(DATE(YEAR(A5),MONTH(DATEVALUE("1-"&amp;A5)),1),1))</f>
        <v/>
      </c>
    </row>
    <row r="6">
      <c r="A6" t="inlineStr">
        <is>
          <t>May 2026</t>
        </is>
      </c>
      <c r="B6" s="12">
        <f>SUMIFS('Raw Data'!$H$2:$H$101,'Raw Data'!$B$2:$B$101,"&gt;="&amp;DATE(YEAR(A6),MONTH(DATEVALUE("1-"&amp;A6)),1),'Raw Data'!$B$2:$B$101,"&lt;"&amp;EDATE(DATE(YEAR(A6),MONTH(DATEVALUE("1-"&amp;A6)),1),1))</f>
        <v/>
      </c>
      <c r="C6" s="12">
        <f>SUMIFS('Raw Data'!$I$2:$I$101,'Raw Data'!$B$2:$B$101,"&gt;="&amp;DATE(YEAR(A6),MONTH(DATEVALUE("1-"&amp;A6)),1),'Raw Data'!$B$2:$B$101,"&lt;"&amp;EDATE(DATE(YEAR(A6),MONTH(DATEVALUE("1-"&amp;A6)),1),1))</f>
        <v/>
      </c>
      <c r="D6" s="13">
        <f>COUNTIFS('Raw Data'!$B$2:$B$101,"&gt;="&amp;DATE(YEAR(A6),MONTH(DATEVALUE("1-"&amp;A6)),1),'Raw Data'!$B$2:$B$101,"&lt;"&amp;EDATE(DATE(YEAR(A6),MONTH(DATEVALUE("1-"&amp;A6)),1),1))</f>
        <v/>
      </c>
    </row>
    <row r="7">
      <c r="A7" t="inlineStr">
        <is>
          <t>Jun 2026</t>
        </is>
      </c>
      <c r="B7" s="12">
        <f>SUMIFS('Raw Data'!$H$2:$H$101,'Raw Data'!$B$2:$B$101,"&gt;="&amp;DATE(YEAR(A7),MONTH(DATEVALUE("1-"&amp;A7)),1),'Raw Data'!$B$2:$B$101,"&lt;"&amp;EDATE(DATE(YEAR(A7),MONTH(DATEVALUE("1-"&amp;A7)),1),1))</f>
        <v/>
      </c>
      <c r="C7" s="12">
        <f>SUMIFS('Raw Data'!$I$2:$I$101,'Raw Data'!$B$2:$B$101,"&gt;="&amp;DATE(YEAR(A7),MONTH(DATEVALUE("1-"&amp;A7)),1),'Raw Data'!$B$2:$B$101,"&lt;"&amp;EDATE(DATE(YEAR(A7),MONTH(DATEVALUE("1-"&amp;A7)),1),1))</f>
        <v/>
      </c>
      <c r="D7" s="13">
        <f>COUNTIFS('Raw Data'!$B$2:$B$101,"&gt;="&amp;DATE(YEAR(A7),MONTH(DATEVALUE("1-"&amp;A7)),1),'Raw Data'!$B$2:$B$101,"&lt;"&amp;EDATE(DATE(YEAR(A7),MONTH(DATEVALUE("1-"&amp;A7)),1),1))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Region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Orders</t>
        </is>
      </c>
      <c r="E1" s="10" t="inlineStr">
        <is>
          <t>Quantity</t>
        </is>
      </c>
    </row>
    <row r="2">
      <c r="A2" t="inlineStr">
        <is>
          <t>North</t>
        </is>
      </c>
      <c r="B2" s="12">
        <f>SUMIF('Raw Data'!$E$2:$E$101,A2,'Raw Data'!$H$2:$H$101)</f>
        <v/>
      </c>
      <c r="C2" s="12">
        <f>SUMIF('Raw Data'!$E$2:$E$101,A2,'Raw Data'!$I$2:$I$101)</f>
        <v/>
      </c>
      <c r="D2" s="13">
        <f>COUNTIF('Raw Data'!$E$2:$E$101,A2)</f>
        <v/>
      </c>
      <c r="E2" s="13">
        <f>SUMIF('Raw Data'!$E$2:$E$101,A2,'Raw Data'!$F$2:$F$101)</f>
        <v/>
      </c>
    </row>
    <row r="3">
      <c r="A3" t="inlineStr">
        <is>
          <t>South</t>
        </is>
      </c>
      <c r="B3" s="12">
        <f>SUMIF('Raw Data'!$E$2:$E$101,A3,'Raw Data'!$H$2:$H$101)</f>
        <v/>
      </c>
      <c r="C3" s="12">
        <f>SUMIF('Raw Data'!$E$2:$E$101,A3,'Raw Data'!$I$2:$I$101)</f>
        <v/>
      </c>
      <c r="D3" s="13">
        <f>COUNTIF('Raw Data'!$E$2:$E$101,A3)</f>
        <v/>
      </c>
      <c r="E3" s="13">
        <f>SUMIF('Raw Data'!$E$2:$E$101,A3,'Raw Data'!$F$2:$F$101)</f>
        <v/>
      </c>
    </row>
    <row r="4">
      <c r="A4" t="inlineStr">
        <is>
          <t>East</t>
        </is>
      </c>
      <c r="B4" s="12">
        <f>SUMIF('Raw Data'!$E$2:$E$101,A4,'Raw Data'!$H$2:$H$101)</f>
        <v/>
      </c>
      <c r="C4" s="12">
        <f>SUMIF('Raw Data'!$E$2:$E$101,A4,'Raw Data'!$I$2:$I$101)</f>
        <v/>
      </c>
      <c r="D4" s="13">
        <f>COUNTIF('Raw Data'!$E$2:$E$101,A4)</f>
        <v/>
      </c>
      <c r="E4" s="13">
        <f>SUMIF('Raw Data'!$E$2:$E$101,A4,'Raw Data'!$F$2:$F$101)</f>
        <v/>
      </c>
    </row>
    <row r="5">
      <c r="A5" t="inlineStr">
        <is>
          <t>West</t>
        </is>
      </c>
      <c r="B5" s="12">
        <f>SUMIF('Raw Data'!$E$2:$E$101,A5,'Raw Data'!$H$2:$H$101)</f>
        <v/>
      </c>
      <c r="C5" s="12">
        <f>SUMIF('Raw Data'!$E$2:$E$101,A5,'Raw Data'!$I$2:$I$101)</f>
        <v/>
      </c>
      <c r="D5" s="13">
        <f>COUNTIF('Raw Data'!$E$2:$E$101,A5)</f>
        <v/>
      </c>
      <c r="E5" s="13">
        <f>SUMIF('Raw Data'!$E$2:$E$101,A5,'Raw Data'!$F$2:$F$101)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Category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Orders</t>
        </is>
      </c>
      <c r="E1" s="10" t="inlineStr">
        <is>
          <t>Quantity</t>
        </is>
      </c>
    </row>
    <row r="2">
      <c r="A2" t="inlineStr">
        <is>
          <t>Electronics</t>
        </is>
      </c>
      <c r="B2" s="12">
        <f>SUMIF('Raw Data'!$D$2:$D$101,A2,'Raw Data'!$H$2:$H$101)</f>
        <v/>
      </c>
      <c r="C2" s="12">
        <f>SUMIF('Raw Data'!$D$2:$D$101,A2,'Raw Data'!$I$2:$I$101)</f>
        <v/>
      </c>
      <c r="D2" s="13">
        <f>COUNTIF('Raw Data'!$D$2:$D$101,A2)</f>
        <v/>
      </c>
      <c r="E2" s="13">
        <f>SUMIF('Raw Data'!$D$2:$D$101,A2,'Raw Data'!$F$2:$F$101)</f>
        <v/>
      </c>
    </row>
    <row r="3">
      <c r="A3" t="inlineStr">
        <is>
          <t>Furniture</t>
        </is>
      </c>
      <c r="B3" s="12">
        <f>SUMIF('Raw Data'!$D$2:$D$101,A3,'Raw Data'!$H$2:$H$101)</f>
        <v/>
      </c>
      <c r="C3" s="12">
        <f>SUMIF('Raw Data'!$D$2:$D$101,A3,'Raw Data'!$I$2:$I$101)</f>
        <v/>
      </c>
      <c r="D3" s="13">
        <f>COUNTIF('Raw Data'!$D$2:$D$101,A3)</f>
        <v/>
      </c>
      <c r="E3" s="13">
        <f>SUMIF('Raw Data'!$D$2:$D$101,A3,'Raw Data'!$F$2:$F$101)</f>
        <v/>
      </c>
    </row>
    <row r="4">
      <c r="A4" t="inlineStr">
        <is>
          <t>Accessories</t>
        </is>
      </c>
      <c r="B4" s="12">
        <f>SUMIF('Raw Data'!$D$2:$D$101,A4,'Raw Data'!$H$2:$H$101)</f>
        <v/>
      </c>
      <c r="C4" s="12">
        <f>SUMIF('Raw Data'!$D$2:$D$101,A4,'Raw Data'!$I$2:$I$101)</f>
        <v/>
      </c>
      <c r="D4" s="13">
        <f>COUNTIF('Raw Data'!$D$2:$D$101,A4)</f>
        <v/>
      </c>
      <c r="E4" s="13">
        <f>SUMIF('Raw Data'!$D$2:$D$101,A4,'Raw Data'!$F$2:$F$101)</f>
        <v/>
      </c>
    </row>
    <row r="5">
      <c r="A5" t="inlineStr">
        <is>
          <t>Stationery</t>
        </is>
      </c>
      <c r="B5" s="12">
        <f>SUMIF('Raw Data'!$D$2:$D$101,A5,'Raw Data'!$H$2:$H$101)</f>
        <v/>
      </c>
      <c r="C5" s="12">
        <f>SUMIF('Raw Data'!$D$2:$D$101,A5,'Raw Data'!$I$2:$I$101)</f>
        <v/>
      </c>
      <c r="D5" s="13">
        <f>COUNTIF('Raw Data'!$D$2:$D$101,A5)</f>
        <v/>
      </c>
      <c r="E5" s="13">
        <f>SUMIF('Raw Data'!$D$2:$D$101,A5,'Raw Data'!$F$2:$F$101)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Product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Orders</t>
        </is>
      </c>
    </row>
    <row r="2">
      <c r="A2" t="inlineStr">
        <is>
          <t>Tablet</t>
        </is>
      </c>
      <c r="B2" s="12">
        <f>SUMIF('Raw Data'!$C$2:$C$101,A2,'Raw Data'!$H$2:$H$101)</f>
        <v/>
      </c>
      <c r="C2" s="12">
        <f>SUMIF('Raw Data'!$C$2:$C$101,A2,'Raw Data'!$I$2:$I$101)</f>
        <v/>
      </c>
      <c r="D2" s="13">
        <f>SUMIF('Raw Data'!$C$2:$C$101,A2,'Raw Data'!$F$2:$F$101)</f>
        <v/>
      </c>
      <c r="E2" s="13">
        <f>COUNTIF('Raw Data'!$C$2:$C$101,A2)</f>
        <v/>
      </c>
    </row>
    <row r="3">
      <c r="A3" t="inlineStr">
        <is>
          <t>Mobile</t>
        </is>
      </c>
      <c r="B3" s="12">
        <f>SUMIF('Raw Data'!$C$2:$C$101,A3,'Raw Data'!$H$2:$H$101)</f>
        <v/>
      </c>
      <c r="C3" s="12">
        <f>SUMIF('Raw Data'!$C$2:$C$101,A3,'Raw Data'!$I$2:$I$101)</f>
        <v/>
      </c>
      <c r="D3" s="13">
        <f>SUMIF('Raw Data'!$C$2:$C$101,A3,'Raw Data'!$F$2:$F$101)</f>
        <v/>
      </c>
      <c r="E3" s="13">
        <f>COUNTIF('Raw Data'!$C$2:$C$101,A3)</f>
        <v/>
      </c>
    </row>
    <row r="4">
      <c r="A4" t="inlineStr">
        <is>
          <t>Laptop</t>
        </is>
      </c>
      <c r="B4" s="12">
        <f>SUMIF('Raw Data'!$C$2:$C$101,A4,'Raw Data'!$H$2:$H$101)</f>
        <v/>
      </c>
      <c r="C4" s="12">
        <f>SUMIF('Raw Data'!$C$2:$C$101,A4,'Raw Data'!$I$2:$I$101)</f>
        <v/>
      </c>
      <c r="D4" s="13">
        <f>SUMIF('Raw Data'!$C$2:$C$101,A4,'Raw Data'!$F$2:$F$101)</f>
        <v/>
      </c>
      <c r="E4" s="13">
        <f>COUNTIF('Raw Data'!$C$2:$C$101,A4)</f>
        <v/>
      </c>
    </row>
    <row r="5">
      <c r="A5" t="inlineStr">
        <is>
          <t>Printer</t>
        </is>
      </c>
      <c r="B5" s="12">
        <f>SUMIF('Raw Data'!$C$2:$C$101,A5,'Raw Data'!$H$2:$H$101)</f>
        <v/>
      </c>
      <c r="C5" s="12">
        <f>SUMIF('Raw Data'!$C$2:$C$101,A5,'Raw Data'!$I$2:$I$101)</f>
        <v/>
      </c>
      <c r="D5" s="13">
        <f>SUMIF('Raw Data'!$C$2:$C$101,A5,'Raw Data'!$F$2:$F$101)</f>
        <v/>
      </c>
      <c r="E5" s="13">
        <f>COUNTIF('Raw Data'!$C$2:$C$101,A5)</f>
        <v/>
      </c>
    </row>
    <row r="6">
      <c r="A6" t="inlineStr">
        <is>
          <t>Monitor</t>
        </is>
      </c>
      <c r="B6" s="12">
        <f>SUMIF('Raw Data'!$C$2:$C$101,A6,'Raw Data'!$H$2:$H$101)</f>
        <v/>
      </c>
      <c r="C6" s="12">
        <f>SUMIF('Raw Data'!$C$2:$C$101,A6,'Raw Data'!$I$2:$I$101)</f>
        <v/>
      </c>
      <c r="D6" s="13">
        <f>SUMIF('Raw Data'!$C$2:$C$101,A6,'Raw Data'!$F$2:$F$101)</f>
        <v/>
      </c>
      <c r="E6" s="13">
        <f>COUNTIF('Raw Data'!$C$2:$C$101,A6)</f>
        <v/>
      </c>
    </row>
    <row r="7">
      <c r="A7" t="inlineStr">
        <is>
          <t>Office Chair</t>
        </is>
      </c>
      <c r="B7" s="12">
        <f>SUMIF('Raw Data'!$C$2:$C$101,A7,'Raw Data'!$H$2:$H$101)</f>
        <v/>
      </c>
      <c r="C7" s="12">
        <f>SUMIF('Raw Data'!$C$2:$C$101,A7,'Raw Data'!$I$2:$I$101)</f>
        <v/>
      </c>
      <c r="D7" s="13">
        <f>SUMIF('Raw Data'!$C$2:$C$101,A7,'Raw Data'!$F$2:$F$101)</f>
        <v/>
      </c>
      <c r="E7" s="13">
        <f>COUNTIF('Raw Data'!$C$2:$C$101,A7)</f>
        <v/>
      </c>
    </row>
    <row r="8">
      <c r="A8" t="inlineStr">
        <is>
          <t>Desk</t>
        </is>
      </c>
      <c r="B8" s="12">
        <f>SUMIF('Raw Data'!$C$2:$C$101,A8,'Raw Data'!$H$2:$H$101)</f>
        <v/>
      </c>
      <c r="C8" s="12">
        <f>SUMIF('Raw Data'!$C$2:$C$101,A8,'Raw Data'!$I$2:$I$101)</f>
        <v/>
      </c>
      <c r="D8" s="13">
        <f>SUMIF('Raw Data'!$C$2:$C$101,A8,'Raw Data'!$F$2:$F$101)</f>
        <v/>
      </c>
      <c r="E8" s="13">
        <f>COUNTIF('Raw Data'!$C$2:$C$101,A8)</f>
        <v/>
      </c>
    </row>
    <row r="9">
      <c r="A9" t="inlineStr">
        <is>
          <t>Bookshelf</t>
        </is>
      </c>
      <c r="B9" s="12">
        <f>SUMIF('Raw Data'!$C$2:$C$101,A9,'Raw Data'!$H$2:$H$101)</f>
        <v/>
      </c>
      <c r="C9" s="12">
        <f>SUMIF('Raw Data'!$C$2:$C$101,A9,'Raw Data'!$I$2:$I$101)</f>
        <v/>
      </c>
      <c r="D9" s="13">
        <f>SUMIF('Raw Data'!$C$2:$C$101,A9,'Raw Data'!$F$2:$F$101)</f>
        <v/>
      </c>
      <c r="E9" s="13">
        <f>COUNTIF('Raw Data'!$C$2:$C$101,A9)</f>
        <v/>
      </c>
    </row>
    <row r="10">
      <c r="A10" t="inlineStr">
        <is>
          <t>Headphones</t>
        </is>
      </c>
      <c r="B10" s="12">
        <f>SUMIF('Raw Data'!$C$2:$C$101,A10,'Raw Data'!$H$2:$H$101)</f>
        <v/>
      </c>
      <c r="C10" s="12">
        <f>SUMIF('Raw Data'!$C$2:$C$101,A10,'Raw Data'!$I$2:$I$101)</f>
        <v/>
      </c>
      <c r="D10" s="13">
        <f>SUMIF('Raw Data'!$C$2:$C$101,A10,'Raw Data'!$F$2:$F$101)</f>
        <v/>
      </c>
      <c r="E10" s="13">
        <f>COUNTIF('Raw Data'!$C$2:$C$101,A10)</f>
        <v/>
      </c>
    </row>
    <row r="11">
      <c r="A11" t="inlineStr">
        <is>
          <t>Keyboard</t>
        </is>
      </c>
      <c r="B11" s="12">
        <f>SUMIF('Raw Data'!$C$2:$C$101,A11,'Raw Data'!$H$2:$H$101)</f>
        <v/>
      </c>
      <c r="C11" s="12">
        <f>SUMIF('Raw Data'!$C$2:$C$101,A11,'Raw Data'!$I$2:$I$101)</f>
        <v/>
      </c>
      <c r="D11" s="13">
        <f>SUMIF('Raw Data'!$C$2:$C$101,A11,'Raw Data'!$F$2:$F$101)</f>
        <v/>
      </c>
      <c r="E11" s="13">
        <f>COUNTIF('Raw Data'!$C$2:$C$101,A11)</f>
        <v/>
      </c>
    </row>
    <row r="12">
      <c r="A12" t="inlineStr">
        <is>
          <t>Backpack</t>
        </is>
      </c>
      <c r="B12" s="12">
        <f>SUMIF('Raw Data'!$C$2:$C$101,A12,'Raw Data'!$H$2:$H$101)</f>
        <v/>
      </c>
      <c r="C12" s="12">
        <f>SUMIF('Raw Data'!$C$2:$C$101,A12,'Raw Data'!$I$2:$I$101)</f>
        <v/>
      </c>
      <c r="D12" s="13">
        <f>SUMIF('Raw Data'!$C$2:$C$101,A12,'Raw Data'!$F$2:$F$101)</f>
        <v/>
      </c>
      <c r="E12" s="13">
        <f>COUNTIF('Raw Data'!$C$2:$C$101,A12)</f>
        <v/>
      </c>
    </row>
    <row r="13">
      <c r="A13" t="inlineStr">
        <is>
          <t>USB Drive</t>
        </is>
      </c>
      <c r="B13" s="12">
        <f>SUMIF('Raw Data'!$C$2:$C$101,A13,'Raw Data'!$H$2:$H$101)</f>
        <v/>
      </c>
      <c r="C13" s="12">
        <f>SUMIF('Raw Data'!$C$2:$C$101,A13,'Raw Data'!$I$2:$I$101)</f>
        <v/>
      </c>
      <c r="D13" s="13">
        <f>SUMIF('Raw Data'!$C$2:$C$101,A13,'Raw Data'!$F$2:$F$101)</f>
        <v/>
      </c>
      <c r="E13" s="13">
        <f>COUNTIF('Raw Data'!$C$2:$C$101,A13)</f>
        <v/>
      </c>
    </row>
    <row r="14">
      <c r="A14" t="inlineStr">
        <is>
          <t>Mouse</t>
        </is>
      </c>
      <c r="B14" s="12">
        <f>SUMIF('Raw Data'!$C$2:$C$101,A14,'Raw Data'!$H$2:$H$101)</f>
        <v/>
      </c>
      <c r="C14" s="12">
        <f>SUMIF('Raw Data'!$C$2:$C$101,A14,'Raw Data'!$I$2:$I$101)</f>
        <v/>
      </c>
      <c r="D14" s="13">
        <f>SUMIF('Raw Data'!$C$2:$C$101,A14,'Raw Data'!$F$2:$F$101)</f>
        <v/>
      </c>
      <c r="E14" s="13">
        <f>COUNTIF('Raw Data'!$C$2:$C$101,A14)</f>
        <v/>
      </c>
    </row>
    <row r="15">
      <c r="A15" t="inlineStr">
        <is>
          <t>Pen Set</t>
        </is>
      </c>
      <c r="B15" s="12">
        <f>SUMIF('Raw Data'!$C$2:$C$101,A15,'Raw Data'!$H$2:$H$101)</f>
        <v/>
      </c>
      <c r="C15" s="12">
        <f>SUMIF('Raw Data'!$C$2:$C$101,A15,'Raw Data'!$I$2:$I$101)</f>
        <v/>
      </c>
      <c r="D15" s="13">
        <f>SUMIF('Raw Data'!$C$2:$C$101,A15,'Raw Data'!$F$2:$F$101)</f>
        <v/>
      </c>
      <c r="E15" s="13">
        <f>COUNTIF('Raw Data'!$C$2:$C$101,A15)</f>
        <v/>
      </c>
    </row>
    <row r="16">
      <c r="A16" t="inlineStr">
        <is>
          <t>Notebook</t>
        </is>
      </c>
      <c r="B16" s="12">
        <f>SUMIF('Raw Data'!$C$2:$C$101,A16,'Raw Data'!$H$2:$H$101)</f>
        <v/>
      </c>
      <c r="C16" s="12">
        <f>SUMIF('Raw Data'!$C$2:$C$101,A16,'Raw Data'!$I$2:$I$101)</f>
        <v/>
      </c>
      <c r="D16" s="13">
        <f>SUMIF('Raw Data'!$C$2:$C$101,A16,'Raw Data'!$F$2:$F$101)</f>
        <v/>
      </c>
      <c r="E16" s="13">
        <f>COUNTIF('Raw Data'!$C$2:$C$101,A16)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Product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Orders</t>
        </is>
      </c>
    </row>
    <row r="2">
      <c r="A2">
        <f>INDEX('Product Analysis'!$A$2:$A$16,MATCH(LARGE('Product Analysis'!$B$2:$B$16,1),'Product Analysis'!$B$2:$B$16,0))</f>
        <v/>
      </c>
      <c r="B2" s="12">
        <f>LARGE('Product Analysis'!$B$2:$B$16,1)</f>
        <v/>
      </c>
      <c r="C2" s="12">
        <f>INDEX('Product Analysis'!$C$2:$C$16,MATCH(B2,'Product Analysis'!$B$2:$B$16,0))</f>
        <v/>
      </c>
      <c r="D2" s="13">
        <f>INDEX('Product Analysis'!$D$2:$D$16,MATCH(B2,'Product Analysis'!$B$2:$B$16,0))</f>
        <v/>
      </c>
      <c r="E2" s="13">
        <f>INDEX('Product Analysis'!$E$2:$E$16,MATCH(B2,'Product Analysis'!$B$2:$B$16,0))</f>
        <v/>
      </c>
    </row>
    <row r="3">
      <c r="A3">
        <f>INDEX('Product Analysis'!$A$2:$A$16,MATCH(LARGE('Product Analysis'!$B$2:$B$16,2),'Product Analysis'!$B$2:$B$16,0))</f>
        <v/>
      </c>
      <c r="B3" s="12">
        <f>LARGE('Product Analysis'!$B$2:$B$16,2)</f>
        <v/>
      </c>
      <c r="C3" s="12">
        <f>INDEX('Product Analysis'!$C$2:$C$16,MATCH(B3,'Product Analysis'!$B$2:$B$16,0))</f>
        <v/>
      </c>
      <c r="D3" s="13">
        <f>INDEX('Product Analysis'!$D$2:$D$16,MATCH(B3,'Product Analysis'!$B$2:$B$16,0))</f>
        <v/>
      </c>
      <c r="E3" s="13">
        <f>INDEX('Product Analysis'!$E$2:$E$16,MATCH(B3,'Product Analysis'!$B$2:$B$16,0))</f>
        <v/>
      </c>
    </row>
    <row r="4">
      <c r="A4">
        <f>INDEX('Product Analysis'!$A$2:$A$16,MATCH(LARGE('Product Analysis'!$B$2:$B$16,3),'Product Analysis'!$B$2:$B$16,0))</f>
        <v/>
      </c>
      <c r="B4" s="12">
        <f>LARGE('Product Analysis'!$B$2:$B$16,3)</f>
        <v/>
      </c>
      <c r="C4" s="12">
        <f>INDEX('Product Analysis'!$C$2:$C$16,MATCH(B4,'Product Analysis'!$B$2:$B$16,0))</f>
        <v/>
      </c>
      <c r="D4" s="13">
        <f>INDEX('Product Analysis'!$D$2:$D$16,MATCH(B4,'Product Analysis'!$B$2:$B$16,0))</f>
        <v/>
      </c>
      <c r="E4" s="13">
        <f>INDEX('Product Analysis'!$E$2:$E$16,MATCH(B4,'Product Analysis'!$B$2:$B$16,0))</f>
        <v/>
      </c>
    </row>
    <row r="5">
      <c r="A5">
        <f>INDEX('Product Analysis'!$A$2:$A$16,MATCH(LARGE('Product Analysis'!$B$2:$B$16,4),'Product Analysis'!$B$2:$B$16,0))</f>
        <v/>
      </c>
      <c r="B5" s="12">
        <f>LARGE('Product Analysis'!$B$2:$B$16,4)</f>
        <v/>
      </c>
      <c r="C5" s="12">
        <f>INDEX('Product Analysis'!$C$2:$C$16,MATCH(B5,'Product Analysis'!$B$2:$B$16,0))</f>
        <v/>
      </c>
      <c r="D5" s="13">
        <f>INDEX('Product Analysis'!$D$2:$D$16,MATCH(B5,'Product Analysis'!$B$2:$B$16,0))</f>
        <v/>
      </c>
      <c r="E5" s="13">
        <f>INDEX('Product Analysis'!$E$2:$E$16,MATCH(B5,'Product Analysis'!$B$2:$B$16,0))</f>
        <v/>
      </c>
    </row>
    <row r="6">
      <c r="A6">
        <f>INDEX('Product Analysis'!$A$2:$A$16,MATCH(LARGE('Product Analysis'!$B$2:$B$16,5),'Product Analysis'!$B$2:$B$16,0))</f>
        <v/>
      </c>
      <c r="B6" s="12">
        <f>LARGE('Product Analysis'!$B$2:$B$16,5)</f>
        <v/>
      </c>
      <c r="C6" s="12">
        <f>INDEX('Product Analysis'!$C$2:$C$16,MATCH(B6,'Product Analysis'!$B$2:$B$16,0))</f>
        <v/>
      </c>
      <c r="D6" s="13">
        <f>INDEX('Product Analysis'!$D$2:$D$16,MATCH(B6,'Product Analysis'!$B$2:$B$16,0))</f>
        <v/>
      </c>
      <c r="E6" s="13">
        <f>INDEX('Product Analysis'!$E$2:$E$16,MATCH(B6,'Product Analysis'!$B$2:$B$16,0))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Sales</t>
        </is>
      </c>
      <c r="B2" s="12">
        <f>SUM('Raw Data'!$H$2:$H$101)</f>
        <v/>
      </c>
      <c r="C2" s="12" t="n"/>
      <c r="D2" s="13" t="n"/>
      <c r="E2" s="13" t="n"/>
    </row>
    <row r="3">
      <c r="A3" t="inlineStr">
        <is>
          <t>Total Profit</t>
        </is>
      </c>
      <c r="B3" s="12">
        <f>SUM('Raw Data'!$I$2:$I$101)</f>
        <v/>
      </c>
      <c r="C3" s="12" t="n"/>
      <c r="D3" s="13" t="n"/>
      <c r="E3" s="13" t="n"/>
    </row>
    <row r="4">
      <c r="A4" t="inlineStr">
        <is>
          <t>Total Orders</t>
        </is>
      </c>
      <c r="B4" s="12">
        <f>COUNTA('Raw Data'!$A$2:$A$101)</f>
        <v/>
      </c>
      <c r="C4" s="12" t="n"/>
      <c r="D4" s="13" t="n"/>
      <c r="E4" s="13" t="n"/>
    </row>
    <row r="5">
      <c r="A5" t="inlineStr">
        <is>
          <t>Total Quantity</t>
        </is>
      </c>
      <c r="B5" s="12">
        <f>SUM('Raw Data'!$F$2:$F$101)</f>
        <v/>
      </c>
      <c r="C5" s="12" t="n"/>
      <c r="D5" s="13" t="n"/>
      <c r="E5" s="13" t="n"/>
    </row>
    <row r="6">
      <c r="A6" t="inlineStr">
        <is>
          <t>Average Sales</t>
        </is>
      </c>
      <c r="B6" s="12">
        <f>AVERAGE('Raw Data'!$H$2:$H$101)</f>
        <v/>
      </c>
      <c r="C6" s="12" t="n"/>
      <c r="D6" s="13" t="n"/>
      <c r="E6" s="13" t="n"/>
    </row>
    <row r="7">
      <c r="A7" t="inlineStr">
        <is>
          <t>Best Product</t>
        </is>
      </c>
      <c r="B7" s="12">
        <f>INDEX('Product Analysis'!$A$2:$A$16,MATCH(MAX('Product Analysis'!$B$2:$B$16),'Product Analysis'!$B$2:$B$16,0))</f>
        <v/>
      </c>
      <c r="C7" s="12" t="n"/>
      <c r="D7" s="13" t="n"/>
      <c r="E7" s="13" t="n"/>
    </row>
    <row r="8">
      <c r="A8" t="inlineStr">
        <is>
          <t>Best Region</t>
        </is>
      </c>
      <c r="B8" s="12">
        <f>INDEX('Region Analysis'!$A$2:$A$5,MATCH(MAX('Region Analysis'!$B$2:$B$5),'Region Analysis'!$B$2:$B$5,0))</f>
        <v/>
      </c>
      <c r="C8" s="12" t="n"/>
      <c r="D8" s="13" t="n"/>
      <c r="E8" s="13" t="n"/>
    </row>
    <row r="9">
      <c r="A9" t="inlineStr">
        <is>
          <t>Best Category</t>
        </is>
      </c>
      <c r="B9" s="12">
        <f>INDEX('Category Analysis'!$A$2:$A$5,MATCH(MAX('Category Analysis'!$B$2:$B$5),'Category Analysis'!$B$2:$B$5,0))</f>
        <v/>
      </c>
      <c r="C9" s="12" t="n"/>
      <c r="D9" s="13" t="n"/>
      <c r="E9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2026-08-11T09:21:37Z</dcterms:created>
  <dcterms:modified xmlns:dcterms="http://purl.org/dc/terms/" xmlns:xsi="http://www.w3.org/2001/XMLSchema-instance" xsi:type="dcterms:W3CDTF">2026-08-11T16:19:38Z</dcterms:modified>
</cp:coreProperties>
</file>